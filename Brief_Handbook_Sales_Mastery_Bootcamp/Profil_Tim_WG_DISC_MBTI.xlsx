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rofil" sheetId="1" state="visible" r:id="rId3"/>
    <sheet name="Rekap DISC" sheetId="2" state="visible" r:id="rId4"/>
    <sheet name="Rekap MBTI" sheetId="3" state="visible" r:id="rId5"/>
    <sheet name="Matriks DISC x MBTI" sheetId="4" state="visible" r:id="rId6"/>
    <sheet name="Prioritas Pengembangan" sheetId="5" state="visible" r:id="rId7"/>
  </sheets>
  <definedNames>
    <definedName function="false" hidden="true" localSheetId="0" name="_xlnm._FilterDatabase" vbProcedure="false">'Master Profil'!$A$4:$S$25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<sst xmlns="http://schemas.openxmlformats.org/spreadsheetml/2006/main" count="495" uniqueCount="355">
  <si>
    <t xml:space="preserve">MASTER PROFIL TIM WG — DISC × MBTI</t>
  </si>
  <si>
    <t xml:space="preserve">21 peserta | Sumber: DISC Profile Tim WG &amp; Ringkasan Deskripsi MBTI</t>
  </si>
  <si>
    <t xml:space="preserve">No.</t>
  </si>
  <si>
    <t xml:space="preserve">Nama Lengkap</t>
  </si>
  <si>
    <t xml:space="preserve">Panggilan</t>
  </si>
  <si>
    <t xml:space="preserve">Gender</t>
  </si>
  <si>
    <t xml:space="preserve">Kamar</t>
  </si>
  <si>
    <t xml:space="preserve">DISC</t>
  </si>
  <si>
    <t xml:space="preserve">MBTI</t>
  </si>
  <si>
    <t xml:space="preserve">Karakter (DISC)</t>
  </si>
  <si>
    <t xml:space="preserve">Strength 1</t>
  </si>
  <si>
    <t xml:space="preserve">Strength 2</t>
  </si>
  <si>
    <t xml:space="preserve">Strength 3</t>
  </si>
  <si>
    <t xml:space="preserve">Development 1</t>
  </si>
  <si>
    <t xml:space="preserve">Development 2</t>
  </si>
  <si>
    <t xml:space="preserve">Development 3</t>
  </si>
  <si>
    <t xml:space="preserve">Strength in Sales (MBTI)</t>
  </si>
  <si>
    <t xml:space="preserve">Potential Sales Risk</t>
  </si>
  <si>
    <t xml:space="preserve">Communication Style</t>
  </si>
  <si>
    <t xml:space="preserve">Sales Role</t>
  </si>
  <si>
    <t xml:space="preserve">Tips Trainer</t>
  </si>
  <si>
    <t xml:space="preserve">I Gusti Ayu Ananda Putri</t>
  </si>
  <si>
    <t xml:space="preserve">Nanda</t>
  </si>
  <si>
    <t xml:space="preserve">Perempuan</t>
  </si>
  <si>
    <t xml:space="preserve">421</t>
  </si>
  <si>
    <t xml:space="preserve">D/I</t>
  </si>
  <si>
    <t xml:space="preserve">ENFP</t>
  </si>
  <si>
    <t xml:space="preserve">Tegas, berorientasi hasil, berani mengambil keputusan, bergerak cepat.</t>
  </si>
  <si>
    <t xml:space="preserve">Decisive &amp; target-oriented</t>
  </si>
  <si>
    <t xml:space="preserve">Berani mengambil inisiatif</t>
  </si>
  <si>
    <t xml:space="preserve">Cukup persuasif</t>
  </si>
  <si>
    <t xml:space="preserve">Kesabaran</t>
  </si>
  <si>
    <t xml:space="preserve">Active listening</t>
  </si>
  <si>
    <t xml:space="preserve">Tidak terlalu cepat mengambil keputusan</t>
  </si>
  <si>
    <t xml:space="preserve">Enerjik, kreatif, komunikatif dan mudah membangun koneksi dengan customer.</t>
  </si>
  <si>
    <t xml:space="preserve">Bisa kehilangan fokus atau kurang konsisten dalam execution.</t>
  </si>
  <si>
    <t xml:space="preserve">Friendly, enthusiastic dan expressive.</t>
  </si>
  <si>
    <t xml:space="preserve">Prospecting, presentation, networking dan business development.</t>
  </si>
  <si>
    <t xml:space="preserve">Fokus pada discipline, sales planning dan follow-up.</t>
  </si>
  <si>
    <t xml:space="preserve">Elfasa Khoirumansyah</t>
  </si>
  <si>
    <t xml:space="preserve">Elfasa</t>
  </si>
  <si>
    <t xml:space="preserve">Laki-laki</t>
  </si>
  <si>
    <t xml:space="preserve">425</t>
  </si>
  <si>
    <t xml:space="preserve">I/S</t>
  </si>
  <si>
    <t xml:space="preserve">ISFJ</t>
  </si>
  <si>
    <t xml:space="preserve">Komunikatif, approachable, kooperatif, nyaman membangun hubungan.</t>
  </si>
  <si>
    <t xml:space="preserve">Relationship building</t>
  </si>
  <si>
    <t xml:space="preserve">Komunikasi &amp; supportive</t>
  </si>
  <si>
    <t xml:space="preserve">Mudah bekerja sama</t>
  </si>
  <si>
    <t xml:space="preserve">Assertiveness</t>
  </si>
  <si>
    <t xml:space="preserve">Keberanian mengambil keputusan</t>
  </si>
  <si>
    <t xml:space="preserve">Relationship builder, loyal, attentive dan mampu memberikan customer experience yang baik.</t>
  </si>
  <si>
    <t xml:space="preserve">Kurang assertive ketika harus melakukan negotiation atau closing.</t>
  </si>
  <si>
    <t xml:space="preserve">Ramah, supportive dan personal.</t>
  </si>
  <si>
    <t xml:space="preserve">Account management, customer relationship dan retention.</t>
  </si>
  <si>
    <t xml:space="preserve">Fokus pada confidence, negotiation dan closing technique.</t>
  </si>
  <si>
    <t xml:space="preserve">Nindy Amalia</t>
  </si>
  <si>
    <t xml:space="preserve">Nindy</t>
  </si>
  <si>
    <t xml:space="preserve">422</t>
  </si>
  <si>
    <t xml:space="preserve">ESTP</t>
  </si>
  <si>
    <t xml:space="preserve">Sangat berorientasi hasil, berani, kompetitif, dan persistent.</t>
  </si>
  <si>
    <t xml:space="preserve">Highly driven</t>
  </si>
  <si>
    <t xml:space="preserve">Decisive &amp; competitive</t>
  </si>
  <si>
    <t xml:space="preserve">Persistent</t>
  </si>
  <si>
    <t xml:space="preserve">Patience</t>
  </si>
  <si>
    <t xml:space="preserve">Listening</t>
  </si>
  <si>
    <t xml:space="preserve">Perspektif orang lain</t>
  </si>
  <si>
    <t xml:space="preserve">Confident, competitive, action-oriented dan cepat mengambil keputusan.</t>
  </si>
  <si>
    <t xml:space="preserve">Bisa terlalu cepat masuk ke solusi tanpa cukup menggali kebutuhan customer.</t>
  </si>
  <si>
    <t xml:space="preserve">Direct, energetic dan persuasive.</t>
  </si>
  <si>
    <t xml:space="preserve">Prospecting, negotiation dan closing.</t>
  </si>
  <si>
    <t xml:space="preserve">Fokus pada consultative questioning dan active listening.</t>
  </si>
  <si>
    <t xml:space="preserve">Irvani Putri</t>
  </si>
  <si>
    <t xml:space="preserve">Irvani</t>
  </si>
  <si>
    <t xml:space="preserve">423</t>
  </si>
  <si>
    <t xml:space="preserve">Aktif, memiliki drive terhadap hasil, nyaman menyampaikan pendapat.</t>
  </si>
  <si>
    <t xml:space="preserve">Initiative</t>
  </si>
  <si>
    <t xml:space="preserve">Confidence</t>
  </si>
  <si>
    <t xml:space="preserve">Target orientation</t>
  </si>
  <si>
    <t xml:space="preserve">Konsistensi</t>
  </si>
  <si>
    <t xml:space="preserve">Tidak terlalu terburu-buru</t>
  </si>
  <si>
    <t xml:space="preserve">Persuasive, enthusiastic, kreatif dan kuat dalam membangun networking.</t>
  </si>
  <si>
    <t xml:space="preserve">Mudah terdistraksi dan kurang menyukai pekerjaan yang repetitif.</t>
  </si>
  <si>
    <t xml:space="preserve">Energetic, friendly dan engaging.</t>
  </si>
  <si>
    <t xml:space="preserve">Prospecting, presentation dan business development.</t>
  </si>
  <si>
    <t xml:space="preserve">Berikan struktur pipeline management dan follow-up discipline.</t>
  </si>
  <si>
    <t xml:space="preserve">Mya Mar'atus Sholikhah</t>
  </si>
  <si>
    <t xml:space="preserve">Mya</t>
  </si>
  <si>
    <t xml:space="preserve">424</t>
  </si>
  <si>
    <t xml:space="preserve">D/C</t>
  </si>
  <si>
    <t xml:space="preserve">ESFP</t>
  </si>
  <si>
    <t xml:space="preserve">Berorientasi hasil sekaligus memastikan pekerjaan dilakukan dengan baik.</t>
  </si>
  <si>
    <t xml:space="preserve">Goal-oriented</t>
  </si>
  <si>
    <t xml:space="preserve">Tegas</t>
  </si>
  <si>
    <t xml:space="preserve">Memperhatikan kualitas</t>
  </si>
  <si>
    <t xml:space="preserve">Fleksibilitas</t>
  </si>
  <si>
    <t xml:space="preserve">Interpersonal communication</t>
  </si>
  <si>
    <t xml:space="preserve">Menghindari over-control</t>
  </si>
  <si>
    <t xml:space="preserve">Sociable, energik, friendly, spontan dan customer-oriented.</t>
  </si>
  <si>
    <t xml:space="preserve">Mudah terdistraksi dan dapat kurang konsisten dalam administrasi/follow-up.</t>
  </si>
  <si>
    <t xml:space="preserve">Expressive, warm, engaging dan enthusiastic.</t>
  </si>
  <si>
    <t xml:space="preserve">Frontliner sales, retail/event sales, prospecting dan customer engagement.</t>
  </si>
  <si>
    <t xml:space="preserve">Manfaatkan kekuatan interpersonalnya, sambil memperkuat planning dan follow-up discipline.</t>
  </si>
  <si>
    <t xml:space="preserve">Okki Putri Fadilah</t>
  </si>
  <si>
    <t xml:space="preserve">Okki</t>
  </si>
  <si>
    <t xml:space="preserve">ESFJ</t>
  </si>
  <si>
    <t xml:space="preserve">Interpersonal-oriented, komunikatif, menjaga hubungan baik.</t>
  </si>
  <si>
    <t xml:space="preserve">Friendly</t>
  </si>
  <si>
    <t xml:space="preserve">Cooperative</t>
  </si>
  <si>
    <t xml:space="preserve">Supportive</t>
  </si>
  <si>
    <t xml:space="preserve">Decision making</t>
  </si>
  <si>
    <t xml:space="preserve">Mengejar target lebih agresif</t>
  </si>
  <si>
    <t xml:space="preserve">Warm, communicative, relationship-oriented dan kuat dalam membangun customer trust.</t>
  </si>
  <si>
    <t xml:space="preserve">Terlalu mempertimbangkan respons orang lain dan kurang nyaman dengan konflik.</t>
  </si>
  <si>
    <t xml:space="preserve">Friendly, supportive dan engaging.</t>
  </si>
  <si>
    <t xml:space="preserve">Tingkatkan assertiveness, negotiation dan handling difficult customers.</t>
  </si>
  <si>
    <t xml:space="preserve">Maria Dita Fivtiari</t>
  </si>
  <si>
    <t xml:space="preserve">Dita</t>
  </si>
  <si>
    <t xml:space="preserve">412</t>
  </si>
  <si>
    <t xml:space="preserve">INFP</t>
  </si>
  <si>
    <t xml:space="preserve">Kuat pada hasil, dengan perhatian terhadap standar dan kualitas.</t>
  </si>
  <si>
    <t xml:space="preserve">Decisive</t>
  </si>
  <si>
    <t xml:space="preserve">Responsible</t>
  </si>
  <si>
    <t xml:space="preserve">Target-oriented &amp; sistematis</t>
  </si>
  <si>
    <t xml:space="preserve">Interpersonal approach</t>
  </si>
  <si>
    <t xml:space="preserve">Empatik, genuine, mampu memahami kebutuhan customer dan membangun trust.</t>
  </si>
  <si>
    <t xml:space="preserve">Sensitif terhadap rejection dan cenderung menghindari konflik.</t>
  </si>
  <si>
    <t xml:space="preserve">Personal, warm dan consultative.</t>
  </si>
  <si>
    <t xml:space="preserve">Relationship dan consultative selling.</t>
  </si>
  <si>
    <t xml:space="preserve">Perkuat assertiveness dan keberanian menghadapi objection.</t>
  </si>
  <si>
    <t xml:space="preserve">Etik Andriyanti</t>
  </si>
  <si>
    <t xml:space="preserve">Andri</t>
  </si>
  <si>
    <t xml:space="preserve">417</t>
  </si>
  <si>
    <t xml:space="preserve">Action-oriented, berani mengambil keputusan, cukup komunikatif.</t>
  </si>
  <si>
    <t xml:space="preserve">Drive &amp; confidence</t>
  </si>
  <si>
    <t xml:space="preserve">Persuasive</t>
  </si>
  <si>
    <t xml:space="preserve">Menerima pendekatan berbeda</t>
  </si>
  <si>
    <t xml:space="preserve">Berani, energik, cepat mengambil tindakan, adaptif dan nyaman menghadapi situasi yang dinamis.</t>
  </si>
  <si>
    <t xml:space="preserve">Dapat terlalu cepat bertindak, kurang sabar dan melewatkan detail.</t>
  </si>
  <si>
    <t xml:space="preserve">Direct, energetic, persuasive dan spontan.</t>
  </si>
  <si>
    <t xml:space="preserve">Hunting sales, prospecting, negotiation dan closing.</t>
  </si>
  <si>
    <t xml:space="preserve">Tekankan listening before pitching dan pentingnya sales planning.</t>
  </si>
  <si>
    <t xml:space="preserve">Sri Wijayati</t>
  </si>
  <si>
    <t xml:space="preserve">Jay</t>
  </si>
  <si>
    <t xml:space="preserve">413</t>
  </si>
  <si>
    <t xml:space="preserve">Assertive dan influential; percaya diri menyampaikan pendapat dan mengejar hasil.</t>
  </si>
  <si>
    <t xml:space="preserve">Confident</t>
  </si>
  <si>
    <t xml:space="preserve">Decisive &amp; energetic</t>
  </si>
  <si>
    <t xml:space="preserve">Emotional sensitivity</t>
  </si>
  <si>
    <t xml:space="preserve">Teamwork</t>
  </si>
  <si>
    <t xml:space="preserve">Empatik, thoughtful, genuine dan mampu memahami perspektif customer.</t>
  </si>
  <si>
    <t xml:space="preserve">Cenderung overthinking dan kurang nyaman menghadapi rejection atau konflik.</t>
  </si>
  <si>
    <t xml:space="preserve">Soft, personal dan consultative.</t>
  </si>
  <si>
    <t xml:space="preserve">Dorong assertiveness, objection handling dan closing confidence.</t>
  </si>
  <si>
    <t xml:space="preserve">Paramitha Maharesmi Nugraheni Putri</t>
  </si>
  <si>
    <t xml:space="preserve">Mitha</t>
  </si>
  <si>
    <t xml:space="preserve">S/C</t>
  </si>
  <si>
    <t xml:space="preserve">Stabil, hati-hati, cukup terstruktur dan balanced.</t>
  </si>
  <si>
    <t xml:space="preserve">Consistency</t>
  </si>
  <si>
    <t xml:space="preserve">Cooperation</t>
  </si>
  <si>
    <t xml:space="preserve">Reliability &amp; process focus</t>
  </si>
  <si>
    <t xml:space="preserve">Proaktif</t>
  </si>
  <si>
    <t xml:space="preserve">Keluar dari comfort zone</t>
  </si>
  <si>
    <t xml:space="preserve">Empatik, kreatif, mampu membangun koneksi berdasarkan kebutuhan dan nilai customer.</t>
  </si>
  <si>
    <t xml:space="preserve">Cenderung menghindari situasi konfrontatif dan dapat terlalu idealis.</t>
  </si>
  <si>
    <t xml:space="preserve">Soft, personal dan persuasive secara natural.</t>
  </si>
  <si>
    <t xml:space="preserve">Relationship/consultative selling.</t>
  </si>
  <si>
    <t xml:space="preserve">Dorong keberanian untuk ask for the sale dan menghadapi rejection.</t>
  </si>
  <si>
    <t xml:space="preserve">Yulia Mekar Rini</t>
  </si>
  <si>
    <t xml:space="preserve">Yulia</t>
  </si>
  <si>
    <t xml:space="preserve">C/S</t>
  </si>
  <si>
    <t xml:space="preserve">ISTP</t>
  </si>
  <si>
    <t xml:space="preserve">Teliti, sistematis, hati-hati, membutuhkan kejelasan.</t>
  </si>
  <si>
    <t xml:space="preserve">Accuracy</t>
  </si>
  <si>
    <t xml:space="preserve">Discipline</t>
  </si>
  <si>
    <t xml:space="preserve">Consistency &amp; quality</t>
  </si>
  <si>
    <t xml:space="preserve">Speed of decision making</t>
  </si>
  <si>
    <t xml:space="preserve">Flexibility</t>
  </si>
  <si>
    <t xml:space="preserve">Keberanian mengambil risiko</t>
  </si>
  <si>
    <t xml:space="preserve">Practical problem solver, analytical, mandiri dan mampu mencari solusi dengan cepat.</t>
  </si>
  <si>
    <t xml:space="preserve">Cenderung reserved dan dapat kurang aktif membangun emotional connection dengan customer.</t>
  </si>
  <si>
    <t xml:space="preserve">Direct, factual dan solution-oriented.</t>
  </si>
  <si>
    <t xml:space="preserve">Technical/solution selling dan customer problem solving.</t>
  </si>
  <si>
    <t xml:space="preserve">Perkuat rapport building, probing dan storytelling.</t>
  </si>
  <si>
    <t xml:space="preserve">Ainur Hasanah</t>
  </si>
  <si>
    <t xml:space="preserve">Ainur</t>
  </si>
  <si>
    <t xml:space="preserve">I/C</t>
  </si>
  <si>
    <t xml:space="preserve">Komunikatif/influential dengan perhatian terhadap detail.</t>
  </si>
  <si>
    <t xml:space="preserve">Communicative</t>
  </si>
  <si>
    <t xml:space="preserve">Cukup terstruktur</t>
  </si>
  <si>
    <t xml:space="preserve">Konsistensi eksekusi</t>
  </si>
  <si>
    <t xml:space="preserve">Keputusan cepat</t>
  </si>
  <si>
    <t xml:space="preserve">Empatik, mampu memahami kebutuhan customer, genuine dalam membangun hubungan dan memiliki pendekatan yang personal.</t>
  </si>
  <si>
    <t xml:space="preserve">Kurang nyaman dengan rejection, konflik, atau aggressive closing.</t>
  </si>
  <si>
    <t xml:space="preserve">Personal, hangat, thoughtful dan relationship-oriented.</t>
  </si>
  <si>
    <t xml:space="preserve">Consultative selling, relationship management, customer care.</t>
  </si>
  <si>
    <t xml:space="preserve">Latih assertiveness, objection handling dan closing melalui role play bertahap.</t>
  </si>
  <si>
    <t xml:space="preserve">Fuad Jaka Pamungkas</t>
  </si>
  <si>
    <t xml:space="preserve">Jaka</t>
  </si>
  <si>
    <t xml:space="preserve">415</t>
  </si>
  <si>
    <t xml:space="preserve">I/D</t>
  </si>
  <si>
    <t xml:space="preserve">Komunikatif, cukup berani, terdorong memengaruhi orang lain.</t>
  </si>
  <si>
    <t xml:space="preserve">Energetic &amp; confident</t>
  </si>
  <si>
    <t xml:space="preserve">Relationship-oriented</t>
  </si>
  <si>
    <t xml:space="preserve">Attention to detail</t>
  </si>
  <si>
    <t xml:space="preserve">Follow-through</t>
  </si>
  <si>
    <t xml:space="preserve">Sangat komunikatif, enthusiastic, kreatif, mudah membangun networking dan persuasive.</t>
  </si>
  <si>
    <t xml:space="preserve">Mudah kehilangan fokus dan kurang konsisten dalam follow-up/detail.</t>
  </si>
  <si>
    <t xml:space="preserve">Energetic, conversational, enthusiastic.</t>
  </si>
  <si>
    <t xml:space="preserve">Prospecting, presentation, networking, business development.</t>
  </si>
  <si>
    <t xml:space="preserve">Gunakan sales funnel, checklist dan follow-up discipline.</t>
  </si>
  <si>
    <t xml:space="preserve">Dimas Wiyanarko</t>
  </si>
  <si>
    <t xml:space="preserve">Dimas</t>
  </si>
  <si>
    <t xml:space="preserve">416</t>
  </si>
  <si>
    <t xml:space="preserve">ISTJ</t>
  </si>
  <si>
    <t xml:space="preserve">Sangat kuat pada struktur, ketelitian, dan konsistensi.</t>
  </si>
  <si>
    <t xml:space="preserve">Analytical</t>
  </si>
  <si>
    <t xml:space="preserve">Systematic</t>
  </si>
  <si>
    <t xml:space="preserve">Detail-oriented &amp; reliable</t>
  </si>
  <si>
    <t xml:space="preserve">Agility</t>
  </si>
  <si>
    <t xml:space="preserve">Situasi tidak terstruktur</t>
  </si>
  <si>
    <t xml:space="preserve">Terstruktur, disiplin, reliable, teliti dan kuat dalam follow-up.</t>
  </si>
  <si>
    <t xml:space="preserve">Bisa terlalu terpaku pada prosedur dan kurang fleksibel menghadapi customer yang unpredictable.</t>
  </si>
  <si>
    <t xml:space="preserve">Formal, jelas, faktual dan terstruktur.</t>
  </si>
  <si>
    <t xml:space="preserve">Account management, B2B sales, technical/solution selling.</t>
  </si>
  <si>
    <t xml:space="preserve">Latih agility, improvisation dan emotional selling.</t>
  </si>
  <si>
    <t xml:space="preserve">Sofyan Thohari</t>
  </si>
  <si>
    <t xml:space="preserve">Popan</t>
  </si>
  <si>
    <t xml:space="preserve">S</t>
  </si>
  <si>
    <t xml:space="preserve">ISFP</t>
  </si>
  <si>
    <t xml:space="preserve">Tenang, kooperatif, sabar, menjaga hubungan baik.</t>
  </si>
  <si>
    <t xml:space="preserve">Empathy &amp; consistency</t>
  </si>
  <si>
    <t xml:space="preserve">Urgency</t>
  </si>
  <si>
    <t xml:space="preserve">Negotiation &amp; rejection</t>
  </si>
  <si>
    <t xml:space="preserve">Empatik, observant, fleksibel dan mampu menciptakan interaksi yang nyaman dengan customer.</t>
  </si>
  <si>
    <t xml:space="preserve">Kurang assertive dan cenderung menghindari situasi yang terlalu konfrontatif.</t>
  </si>
  <si>
    <t xml:space="preserve">Calm, personal dan empathetic.</t>
  </si>
  <si>
    <t xml:space="preserve">Relationship selling, customer service dan account management.</t>
  </si>
  <si>
    <t xml:space="preserve">Fokus pada confidence, negotiation dan closing drive.</t>
  </si>
  <si>
    <t xml:space="preserve">Adiel Priyarama</t>
  </si>
  <si>
    <t xml:space="preserve">Adiel</t>
  </si>
  <si>
    <t xml:space="preserve">414</t>
  </si>
  <si>
    <t xml:space="preserve">Stabil, terstruktur, mempertimbangkan sesuatu sebelum bertindak.</t>
  </si>
  <si>
    <t xml:space="preserve">Reliability</t>
  </si>
  <si>
    <t xml:space="preserve">Attention to quality</t>
  </si>
  <si>
    <t xml:space="preserve">Spontaneity</t>
  </si>
  <si>
    <t xml:space="preserve">Assertive communication</t>
  </si>
  <si>
    <t xml:space="preserve">Praktis, cepat membaca masalah, tenang menghadapi situasi sulit, dan mampu mencari solusi secara langsung.</t>
  </si>
  <si>
    <t xml:space="preserve">Bisa kurang ekspresif dan kurang aktif membangun relationship secara verbal.</t>
  </si>
  <si>
    <t xml:space="preserve">Singkat, to the point, berbasis fakta dan solusi.</t>
  </si>
  <si>
    <t xml:space="preserve">Technical/solution selling, handling customer issues, negotiation yang membutuhkan problem solving.</t>
  </si>
  <si>
    <t xml:space="preserve">Berikan case study dan simulasi problem solving; dorong untuk lebih aktif menggali kebutuhan customer.</t>
  </si>
  <si>
    <t xml:space="preserve">Kensrie Diah Ayuningtyas</t>
  </si>
  <si>
    <t xml:space="preserve">Kensrie</t>
  </si>
  <si>
    <t xml:space="preserve">D/C – Balanced</t>
  </si>
  <si>
    <t xml:space="preserve">Balanced antara orientasi hasil dan kebutuhan kualitas/struktur.</t>
  </si>
  <si>
    <t xml:space="preserve">Adaptable</t>
  </si>
  <si>
    <t xml:space="preserve">Cukup decisive</t>
  </si>
  <si>
    <t xml:space="preserve">Menjaga standar kerja</t>
  </si>
  <si>
    <t xml:space="preserve">Konsistensi interpersonal style</t>
  </si>
  <si>
    <t xml:space="preserve">Kejelasan prioritas</t>
  </si>
  <si>
    <t xml:space="preserve">Berani, cepat bertindak, confident, adaptif dan kompetitif.</t>
  </si>
  <si>
    <t xml:space="preserve">Impulsif dan dapat kurang memperhatikan detail atau proses.</t>
  </si>
  <si>
    <t xml:space="preserve">Direct, spontaneous dan energetic.</t>
  </si>
  <si>
    <t xml:space="preserve">Hunting, negotiation dan closing.</t>
  </si>
  <si>
    <t xml:space="preserve">Latih active listening, probing dan structured selling.</t>
  </si>
  <si>
    <t xml:space="preserve">Linda Susanto</t>
  </si>
  <si>
    <t xml:space="preserve">Linda</t>
  </si>
  <si>
    <t xml:space="preserve">Tenang, stabil, kooperatif, menjaga hubungan, nyaman dengan struktur.</t>
  </si>
  <si>
    <t xml:space="preserve">Teamwork &amp; empathy</t>
  </si>
  <si>
    <t xml:space="preserve">Initiative &amp; decision making</t>
  </si>
  <si>
    <t xml:space="preserve">Menghadapi rejection</t>
  </si>
  <si>
    <t xml:space="preserve">Attentive, reliable, supportive dan mampu membangun hubungan jangka panjang dengan customer.</t>
  </si>
  <si>
    <t xml:space="preserve">Kurang nyaman dengan rejection dan aggressive selling.</t>
  </si>
  <si>
    <t xml:space="preserve">Warm, polite dan relationship-oriented.</t>
  </si>
  <si>
    <t xml:space="preserve">Account management, customer service dan retention.</t>
  </si>
  <si>
    <t xml:space="preserve">Fokus pada assertiveness, negotiation dan closing confidence.</t>
  </si>
  <si>
    <t xml:space="preserve">Gilang Risnantyo</t>
  </si>
  <si>
    <t xml:space="preserve">Gilang</t>
  </si>
  <si>
    <t xml:space="preserve">Berorientasi hasil, tegas, proaktif, percaya diri, menyukai tantangan.</t>
  </si>
  <si>
    <t xml:space="preserve">Target-oriented</t>
  </si>
  <si>
    <t xml:space="preserve">Decisiveness</t>
  </si>
  <si>
    <t xml:space="preserve">Initiative &amp; confidence</t>
  </si>
  <si>
    <t xml:space="preserve">Attention to detail &amp; follow-through</t>
  </si>
  <si>
    <t xml:space="preserve">Problem solver, praktis, fleksibel dan mampu tetap tenang menghadapi masalah customer.</t>
  </si>
  <si>
    <t xml:space="preserve">Bisa kurang ekspresif dan kurang aktif dalam relationship building.</t>
  </si>
  <si>
    <t xml:space="preserve">Solution/technical selling dan customer problem solving.</t>
  </si>
  <si>
    <t xml:space="preserve">Dorong kemampuan rapport building dan probing questions.</t>
  </si>
  <si>
    <t xml:space="preserve">Fadli Fahmi Ali</t>
  </si>
  <si>
    <t xml:space="preserve">Fadli</t>
  </si>
  <si>
    <t xml:space="preserve">INFJ</t>
  </si>
  <si>
    <t xml:space="preserve">Stabil, loyal, tenang, santai, dan dapat menjadi pendengar yang baik.</t>
  </si>
  <si>
    <t xml:space="preserve">Stability</t>
  </si>
  <si>
    <t xml:space="preserve">Loyalty &amp; teamwork</t>
  </si>
  <si>
    <t xml:space="preserve">Listening &amp; consistency</t>
  </si>
  <si>
    <t xml:space="preserve">Assertiveness &amp; urgency</t>
  </si>
  <si>
    <t xml:space="preserve">Target orientation &amp; perubahan</t>
  </si>
  <si>
    <t xml:space="preserve">Empatik, insightful, mampu memahami kebutuhan customer secara mendalam dan membangun trust.</t>
  </si>
  <si>
    <t xml:space="preserve">Dapat terlalu banyak berpikir sebelum bertindak dan kurang nyaman dengan hard selling.</t>
  </si>
  <si>
    <t xml:space="preserve">Thoughtful, personal dan consultative.</t>
  </si>
  <si>
    <t xml:space="preserve">Consultative selling, key account dan relationship management.</t>
  </si>
  <si>
    <t xml:space="preserve">Latih decisiveness, assertiveness dan closing.</t>
  </si>
  <si>
    <t xml:space="preserve">I Gusti Putu Yaktianuraga</t>
  </si>
  <si>
    <t xml:space="preserve">Bagus</t>
  </si>
  <si>
    <t xml:space="preserve">ENTJ</t>
  </si>
  <si>
    <t xml:space="preserve">Tegas, ambisius, optimis, mandiri, suka tantangan, dan persuasive.</t>
  </si>
  <si>
    <t xml:space="preserve">Confidence, persuasive &amp; energetic</t>
  </si>
  <si>
    <t xml:space="preserve">Attention to detail &amp; listening</t>
  </si>
  <si>
    <t xml:space="preserve">Tactfulness; hindari dominasi</t>
  </si>
  <si>
    <t xml:space="preserve">Strong leadership, decisive, strategic, confident dan sangat target-oriented.</t>
  </si>
  <si>
    <t xml:space="preserve">Bisa terlalu dominan, impatient dan terlalu fokus pada hasil dibandingkan relationship.</t>
  </si>
  <si>
    <t xml:space="preserve">Direct, confident, strategic dan result-oriented.</t>
  </si>
  <si>
    <t xml:space="preserve">Sales leadership, negotiation, business development dan closing.</t>
  </si>
  <si>
    <t xml:space="preserve">Tantang untuk listen more, ask more, tell less agar tidak terlalu cepat mengarahkan customer.</t>
  </si>
  <si>
    <t xml:space="preserve">Catatan: Kolom Strength/Development bersumber dari DISC Profile; kolom Sales bersumber dari ringkasan MBTI. Kamar mengikuti sheet 'Rooming List' pada file Rooming_List_Final_dengan_DISC_upd.xlsx (bukan kolom Kamar di sheet 'Daftar Penghuni', yang tidak konsisten). Alga, Chelsy, Eyang, dan Bu Bintang tidak memiliki profil DISC/MBTI sehingga tidak masuk daftar ini.</t>
  </si>
  <si>
    <t xml:space="preserve">REKAP DISC</t>
  </si>
  <si>
    <t xml:space="preserve">Komposisi gaya perilaku dalam tim (formula COUNTIF ke sheet Master Profil)</t>
  </si>
  <si>
    <t xml:space="preserve">Gaya DISC</t>
  </si>
  <si>
    <t xml:space="preserve">Jumlah</t>
  </si>
  <si>
    <t xml:space="preserve">% Tim</t>
  </si>
  <si>
    <t xml:space="preserve">Anggota</t>
  </si>
  <si>
    <t xml:space="preserve">Nanda, Nindy, Irvani, Andri, Jay, Gilang, Bagus</t>
  </si>
  <si>
    <t xml:space="preserve">Mitha, Adiel, Linda</t>
  </si>
  <si>
    <t xml:space="preserve">Mya, Dita</t>
  </si>
  <si>
    <t xml:space="preserve">Yulia, Dimas</t>
  </si>
  <si>
    <t xml:space="preserve">Elfasa, Okki</t>
  </si>
  <si>
    <t xml:space="preserve">Popan, Fadli</t>
  </si>
  <si>
    <t xml:space="preserve">TOTAL</t>
  </si>
  <si>
    <t xml:space="preserve">Team read: energi D/I dominan (drive target, persuasi, negotiation, closing); S/C &amp; C/S menjadi penyeimbang (stabilitas, kualitas, ketelitian, relationship). Development paling berulang: listening, assertiveness, flexibility, urgency, follow-through.</t>
  </si>
  <si>
    <t xml:space="preserve">REKAP MBTI</t>
  </si>
  <si>
    <t xml:space="preserve">Distribusi tipe MBTI (formula COUNTIF ke sheet Master Profil)</t>
  </si>
  <si>
    <t xml:space="preserve">Tipe MBTI</t>
  </si>
  <si>
    <t xml:space="preserve">Dita, Jay, Mitha, Ainur</t>
  </si>
  <si>
    <t xml:space="preserve">Nanda, Irvani, Jaka</t>
  </si>
  <si>
    <t xml:space="preserve">Nindy, Andri, Kensrie</t>
  </si>
  <si>
    <t xml:space="preserve">Yulia, Adiel, Gilang</t>
  </si>
  <si>
    <t xml:space="preserve">Elfasa, Linda</t>
  </si>
  <si>
    <t xml:space="preserve">MATRIKS DISC × MBTI</t>
  </si>
  <si>
    <t xml:space="preserve">Jumlah orang per kombinasi (COUNTIFS ke sheet Master Profil)</t>
  </si>
  <si>
    <t xml:space="preserve">DISC \ MBTI</t>
  </si>
  <si>
    <t xml:space="preserve">Total</t>
  </si>
  <si>
    <t xml:space="preserve">Nilai 0 berarti tidak ada anggota pada kombinasi tersebut.</t>
  </si>
  <si>
    <t xml:space="preserve">FROM PROFILE TO PERFORMANCE</t>
  </si>
  <si>
    <t xml:space="preserve">Prioritas pengembangan untuk Sales Mastery</t>
  </si>
  <si>
    <t xml:space="preserve">Fokus</t>
  </si>
  <si>
    <t xml:space="preserve">Sasaran Utama</t>
  </si>
  <si>
    <t xml:space="preserve">Deskripsi</t>
  </si>
  <si>
    <t xml:space="preserve">Terutama D/I</t>
  </si>
  <si>
    <t xml:space="preserve">Dengarkan kebutuhan customer sebelum menawarkan solusi.</t>
  </si>
  <si>
    <t xml:space="preserve">Terutama S/C &amp; S</t>
  </si>
  <si>
    <t xml:space="preserve">Berani mengambil posisi, bertanya, dan mengejar target.</t>
  </si>
  <si>
    <t xml:space="preserve">Terutama C/S &amp; C</t>
  </si>
  <si>
    <t xml:space="preserve">Lebih cepat merespons perubahan dan situasi tidak terstruktur.</t>
  </si>
  <si>
    <t xml:space="preserve">Semua profil</t>
  </si>
  <si>
    <t xml:space="preserve">Jaga konsistensi eksekusi setelah pitching, negotiation, hingga closing.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</si>
</sst>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E7F4EC"/>
        <bgColor rgb="FFEAF0FA"/>
      </patternFill>
    </fill>
    <fill>
      <patternFill patternType="solid">
        <fgColor rgb="FFFCECEC"/>
        <bgColor rgb="FFEAF0FA"/>
      </patternFill>
    </fill>
    <fill>
      <patternFill patternType="solid">
        <fgColor rgb="FFF7F9FC"/>
        <bgColor rgb="FFFFFFFF"/>
      </patternFill>
    </fill>
    <fill>
      <patternFill patternType="solid">
        <fgColor rgb="FFEAF0FA"/>
        <bgColor rgb="FFE7F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1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4EC"/>
          <bgColor rgb="FF000000"/>
        </patternFill>
      </fill>
    </dxf>
    <dxf>
      <fill>
        <patternFill patternType="solid">
          <fgColor rgb="FFFCEC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7F9FC"/>
      <rgbColor rgb="FFE7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A"/>
      <rgbColor rgb="FFCCFFCC"/>
      <rgbColor rgb="FFFC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38"/>
    <col collapsed="false" customWidth="true" hidden="false" outlineLevel="0" max="10" min="9" style="0" width="22"/>
    <col collapsed="false" customWidth="true" hidden="false" outlineLevel="0" max="13" min="11" style="0" width="24"/>
    <col collapsed="false" customWidth="true" hidden="false" outlineLevel="0" max="14" min="14" style="0" width="26"/>
    <col collapsed="false" customWidth="true" hidden="false" outlineLevel="0" max="15" min="15" style="0" width="42"/>
    <col collapsed="false" customWidth="true" hidden="false" outlineLevel="0" max="16" min="16" style="0" width="38"/>
    <col collapsed="false" customWidth="true" hidden="false" outlineLevel="0" max="17" min="17" style="0" width="30"/>
    <col collapsed="false" customWidth="true" hidden="false" outlineLevel="0" max="18" min="18" style="0" width="34"/>
    <col collapsed="false" customWidth="true" hidden="false" outlineLevel="0" max="19" min="19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72" hidden="false" customHeight="true" outlineLevel="0" collapsed="false">
      <c r="A5" s="4" t="n">
        <v>1</v>
      </c>
      <c r="B5" s="5" t="s">
        <v>21</v>
      </c>
      <c r="C5" s="5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6" t="s">
        <v>27</v>
      </c>
      <c r="I5" s="7" t="s">
        <v>28</v>
      </c>
      <c r="J5" s="7" t="s">
        <v>29</v>
      </c>
      <c r="K5" s="7" t="s">
        <v>30</v>
      </c>
      <c r="L5" s="8" t="s">
        <v>31</v>
      </c>
      <c r="M5" s="8" t="s">
        <v>32</v>
      </c>
      <c r="N5" s="8" t="s">
        <v>33</v>
      </c>
      <c r="O5" s="6" t="s">
        <v>34</v>
      </c>
      <c r="P5" s="6" t="s">
        <v>35</v>
      </c>
      <c r="Q5" s="6" t="s">
        <v>36</v>
      </c>
      <c r="R5" s="6" t="s">
        <v>37</v>
      </c>
      <c r="S5" s="6" t="s">
        <v>38</v>
      </c>
    </row>
    <row r="6" customFormat="false" ht="72" hidden="false" customHeight="true" outlineLevel="0" collapsed="false">
      <c r="A6" s="9" t="n">
        <v>2</v>
      </c>
      <c r="B6" s="10" t="s">
        <v>39</v>
      </c>
      <c r="C6" s="10" t="s">
        <v>40</v>
      </c>
      <c r="D6" s="9" t="s">
        <v>41</v>
      </c>
      <c r="E6" s="9" t="s">
        <v>42</v>
      </c>
      <c r="F6" s="9" t="s">
        <v>43</v>
      </c>
      <c r="G6" s="9" t="s">
        <v>44</v>
      </c>
      <c r="H6" s="11" t="s">
        <v>45</v>
      </c>
      <c r="I6" s="7" t="s">
        <v>46</v>
      </c>
      <c r="J6" s="7" t="s">
        <v>47</v>
      </c>
      <c r="K6" s="7" t="s">
        <v>48</v>
      </c>
      <c r="L6" s="8" t="s">
        <v>49</v>
      </c>
      <c r="M6" s="8" t="s">
        <v>50</v>
      </c>
      <c r="N6" s="8"/>
      <c r="O6" s="11" t="s">
        <v>51</v>
      </c>
      <c r="P6" s="11" t="s">
        <v>52</v>
      </c>
      <c r="Q6" s="11" t="s">
        <v>53</v>
      </c>
      <c r="R6" s="11" t="s">
        <v>54</v>
      </c>
      <c r="S6" s="11" t="s">
        <v>55</v>
      </c>
    </row>
    <row r="7" customFormat="false" ht="72" hidden="false" customHeight="true" outlineLevel="0" collapsed="false">
      <c r="A7" s="4" t="n">
        <v>3</v>
      </c>
      <c r="B7" s="5" t="s">
        <v>56</v>
      </c>
      <c r="C7" s="5" t="s">
        <v>57</v>
      </c>
      <c r="D7" s="4" t="s">
        <v>23</v>
      </c>
      <c r="E7" s="4" t="s">
        <v>58</v>
      </c>
      <c r="F7" s="4" t="s">
        <v>25</v>
      </c>
      <c r="G7" s="4" t="s">
        <v>59</v>
      </c>
      <c r="H7" s="6" t="s">
        <v>60</v>
      </c>
      <c r="I7" s="7" t="s">
        <v>61</v>
      </c>
      <c r="J7" s="7" t="s">
        <v>62</v>
      </c>
      <c r="K7" s="7" t="s">
        <v>63</v>
      </c>
      <c r="L7" s="8" t="s">
        <v>64</v>
      </c>
      <c r="M7" s="8" t="s">
        <v>65</v>
      </c>
      <c r="N7" s="8" t="s">
        <v>66</v>
      </c>
      <c r="O7" s="6" t="s">
        <v>67</v>
      </c>
      <c r="P7" s="6" t="s">
        <v>68</v>
      </c>
      <c r="Q7" s="6" t="s">
        <v>69</v>
      </c>
      <c r="R7" s="6" t="s">
        <v>70</v>
      </c>
      <c r="S7" s="6" t="s">
        <v>71</v>
      </c>
    </row>
    <row r="8" customFormat="false" ht="72" hidden="false" customHeight="true" outlineLevel="0" collapsed="false">
      <c r="A8" s="9" t="n">
        <v>4</v>
      </c>
      <c r="B8" s="10" t="s">
        <v>72</v>
      </c>
      <c r="C8" s="10" t="s">
        <v>73</v>
      </c>
      <c r="D8" s="9" t="s">
        <v>23</v>
      </c>
      <c r="E8" s="9" t="s">
        <v>74</v>
      </c>
      <c r="F8" s="9" t="s">
        <v>25</v>
      </c>
      <c r="G8" s="9" t="s">
        <v>26</v>
      </c>
      <c r="H8" s="11" t="s">
        <v>75</v>
      </c>
      <c r="I8" s="7" t="s">
        <v>76</v>
      </c>
      <c r="J8" s="7" t="s">
        <v>77</v>
      </c>
      <c r="K8" s="7" t="s">
        <v>78</v>
      </c>
      <c r="L8" s="8" t="s">
        <v>79</v>
      </c>
      <c r="M8" s="8" t="s">
        <v>65</v>
      </c>
      <c r="N8" s="8" t="s">
        <v>80</v>
      </c>
      <c r="O8" s="11" t="s">
        <v>81</v>
      </c>
      <c r="P8" s="11" t="s">
        <v>82</v>
      </c>
      <c r="Q8" s="11" t="s">
        <v>83</v>
      </c>
      <c r="R8" s="11" t="s">
        <v>84</v>
      </c>
      <c r="S8" s="11" t="s">
        <v>85</v>
      </c>
    </row>
    <row r="9" customFormat="false" ht="72" hidden="false" customHeight="true" outlineLevel="0" collapsed="false">
      <c r="A9" s="4" t="n">
        <v>5</v>
      </c>
      <c r="B9" s="5" t="s">
        <v>86</v>
      </c>
      <c r="C9" s="5" t="s">
        <v>87</v>
      </c>
      <c r="D9" s="4" t="s">
        <v>23</v>
      </c>
      <c r="E9" s="4" t="s">
        <v>88</v>
      </c>
      <c r="F9" s="4" t="s">
        <v>89</v>
      </c>
      <c r="G9" s="4" t="s">
        <v>90</v>
      </c>
      <c r="H9" s="6" t="s">
        <v>91</v>
      </c>
      <c r="I9" s="7" t="s">
        <v>92</v>
      </c>
      <c r="J9" s="7" t="s">
        <v>93</v>
      </c>
      <c r="K9" s="7" t="s">
        <v>94</v>
      </c>
      <c r="L9" s="8" t="s">
        <v>95</v>
      </c>
      <c r="M9" s="8" t="s">
        <v>96</v>
      </c>
      <c r="N9" s="8" t="s">
        <v>97</v>
      </c>
      <c r="O9" s="6" t="s">
        <v>98</v>
      </c>
      <c r="P9" s="6" t="s">
        <v>99</v>
      </c>
      <c r="Q9" s="6" t="s">
        <v>100</v>
      </c>
      <c r="R9" s="6" t="s">
        <v>101</v>
      </c>
      <c r="S9" s="6" t="s">
        <v>102</v>
      </c>
    </row>
    <row r="10" customFormat="false" ht="72" hidden="false" customHeight="true" outlineLevel="0" collapsed="false">
      <c r="A10" s="9" t="n">
        <v>6</v>
      </c>
      <c r="B10" s="10" t="s">
        <v>103</v>
      </c>
      <c r="C10" s="10" t="s">
        <v>104</v>
      </c>
      <c r="D10" s="9" t="s">
        <v>23</v>
      </c>
      <c r="E10" s="9" t="s">
        <v>58</v>
      </c>
      <c r="F10" s="9" t="s">
        <v>43</v>
      </c>
      <c r="G10" s="9" t="s">
        <v>105</v>
      </c>
      <c r="H10" s="11" t="s">
        <v>106</v>
      </c>
      <c r="I10" s="7" t="s">
        <v>107</v>
      </c>
      <c r="J10" s="7" t="s">
        <v>108</v>
      </c>
      <c r="K10" s="7" t="s">
        <v>109</v>
      </c>
      <c r="L10" s="8" t="s">
        <v>49</v>
      </c>
      <c r="M10" s="8" t="s">
        <v>110</v>
      </c>
      <c r="N10" s="8" t="s">
        <v>111</v>
      </c>
      <c r="O10" s="11" t="s">
        <v>112</v>
      </c>
      <c r="P10" s="11" t="s">
        <v>113</v>
      </c>
      <c r="Q10" s="11" t="s">
        <v>114</v>
      </c>
      <c r="R10" s="11" t="s">
        <v>54</v>
      </c>
      <c r="S10" s="11" t="s">
        <v>115</v>
      </c>
    </row>
    <row r="11" customFormat="false" ht="72" hidden="false" customHeight="true" outlineLevel="0" collapsed="false">
      <c r="A11" s="4" t="n">
        <v>7</v>
      </c>
      <c r="B11" s="5" t="s">
        <v>116</v>
      </c>
      <c r="C11" s="5" t="s">
        <v>117</v>
      </c>
      <c r="D11" s="4" t="s">
        <v>23</v>
      </c>
      <c r="E11" s="4" t="s">
        <v>118</v>
      </c>
      <c r="F11" s="4" t="s">
        <v>89</v>
      </c>
      <c r="G11" s="4" t="s">
        <v>119</v>
      </c>
      <c r="H11" s="6" t="s">
        <v>120</v>
      </c>
      <c r="I11" s="7" t="s">
        <v>121</v>
      </c>
      <c r="J11" s="7" t="s">
        <v>122</v>
      </c>
      <c r="K11" s="7" t="s">
        <v>123</v>
      </c>
      <c r="L11" s="8" t="s">
        <v>95</v>
      </c>
      <c r="M11" s="8" t="s">
        <v>124</v>
      </c>
      <c r="N11" s="8"/>
      <c r="O11" s="6" t="s">
        <v>125</v>
      </c>
      <c r="P11" s="6" t="s">
        <v>126</v>
      </c>
      <c r="Q11" s="6" t="s">
        <v>127</v>
      </c>
      <c r="R11" s="6" t="s">
        <v>128</v>
      </c>
      <c r="S11" s="6" t="s">
        <v>129</v>
      </c>
    </row>
    <row r="12" customFormat="false" ht="72" hidden="false" customHeight="true" outlineLevel="0" collapsed="false">
      <c r="A12" s="9" t="n">
        <v>8</v>
      </c>
      <c r="B12" s="10" t="s">
        <v>130</v>
      </c>
      <c r="C12" s="10" t="s">
        <v>131</v>
      </c>
      <c r="D12" s="9" t="s">
        <v>23</v>
      </c>
      <c r="E12" s="9" t="s">
        <v>132</v>
      </c>
      <c r="F12" s="9" t="s">
        <v>25</v>
      </c>
      <c r="G12" s="9" t="s">
        <v>59</v>
      </c>
      <c r="H12" s="11" t="s">
        <v>133</v>
      </c>
      <c r="I12" s="7" t="s">
        <v>76</v>
      </c>
      <c r="J12" s="7" t="s">
        <v>134</v>
      </c>
      <c r="K12" s="7" t="s">
        <v>135</v>
      </c>
      <c r="L12" s="8" t="s">
        <v>64</v>
      </c>
      <c r="M12" s="8" t="s">
        <v>65</v>
      </c>
      <c r="N12" s="8" t="s">
        <v>136</v>
      </c>
      <c r="O12" s="11" t="s">
        <v>137</v>
      </c>
      <c r="P12" s="11" t="s">
        <v>138</v>
      </c>
      <c r="Q12" s="11" t="s">
        <v>139</v>
      </c>
      <c r="R12" s="11" t="s">
        <v>140</v>
      </c>
      <c r="S12" s="11" t="s">
        <v>141</v>
      </c>
    </row>
    <row r="13" customFormat="false" ht="72" hidden="false" customHeight="true" outlineLevel="0" collapsed="false">
      <c r="A13" s="4" t="n">
        <v>9</v>
      </c>
      <c r="B13" s="5" t="s">
        <v>142</v>
      </c>
      <c r="C13" s="5" t="s">
        <v>143</v>
      </c>
      <c r="D13" s="4" t="s">
        <v>23</v>
      </c>
      <c r="E13" s="4" t="s">
        <v>144</v>
      </c>
      <c r="F13" s="4" t="s">
        <v>25</v>
      </c>
      <c r="G13" s="4" t="s">
        <v>119</v>
      </c>
      <c r="H13" s="6" t="s">
        <v>145</v>
      </c>
      <c r="I13" s="7" t="s">
        <v>146</v>
      </c>
      <c r="J13" s="7" t="s">
        <v>135</v>
      </c>
      <c r="K13" s="7" t="s">
        <v>147</v>
      </c>
      <c r="L13" s="8" t="s">
        <v>65</v>
      </c>
      <c r="M13" s="8" t="s">
        <v>148</v>
      </c>
      <c r="N13" s="8" t="s">
        <v>149</v>
      </c>
      <c r="O13" s="6" t="s">
        <v>150</v>
      </c>
      <c r="P13" s="6" t="s">
        <v>151</v>
      </c>
      <c r="Q13" s="6" t="s">
        <v>152</v>
      </c>
      <c r="R13" s="6" t="s">
        <v>128</v>
      </c>
      <c r="S13" s="6" t="s">
        <v>153</v>
      </c>
    </row>
    <row r="14" customFormat="false" ht="72" hidden="false" customHeight="true" outlineLevel="0" collapsed="false">
      <c r="A14" s="9" t="n">
        <v>10</v>
      </c>
      <c r="B14" s="10" t="s">
        <v>154</v>
      </c>
      <c r="C14" s="10" t="s">
        <v>155</v>
      </c>
      <c r="D14" s="9" t="s">
        <v>23</v>
      </c>
      <c r="E14" s="9" t="s">
        <v>24</v>
      </c>
      <c r="F14" s="9" t="s">
        <v>156</v>
      </c>
      <c r="G14" s="9" t="s">
        <v>119</v>
      </c>
      <c r="H14" s="11" t="s">
        <v>157</v>
      </c>
      <c r="I14" s="7" t="s">
        <v>158</v>
      </c>
      <c r="J14" s="7" t="s">
        <v>159</v>
      </c>
      <c r="K14" s="7" t="s">
        <v>160</v>
      </c>
      <c r="L14" s="8" t="s">
        <v>161</v>
      </c>
      <c r="M14" s="8" t="s">
        <v>49</v>
      </c>
      <c r="N14" s="8" t="s">
        <v>162</v>
      </c>
      <c r="O14" s="11" t="s">
        <v>163</v>
      </c>
      <c r="P14" s="11" t="s">
        <v>164</v>
      </c>
      <c r="Q14" s="11" t="s">
        <v>165</v>
      </c>
      <c r="R14" s="11" t="s">
        <v>166</v>
      </c>
      <c r="S14" s="11" t="s">
        <v>167</v>
      </c>
    </row>
    <row r="15" customFormat="false" ht="72" hidden="false" customHeight="true" outlineLevel="0" collapsed="false">
      <c r="A15" s="4" t="n">
        <v>11</v>
      </c>
      <c r="B15" s="5" t="s">
        <v>168</v>
      </c>
      <c r="C15" s="5" t="s">
        <v>169</v>
      </c>
      <c r="D15" s="4" t="s">
        <v>23</v>
      </c>
      <c r="E15" s="4" t="s">
        <v>88</v>
      </c>
      <c r="F15" s="4" t="s">
        <v>170</v>
      </c>
      <c r="G15" s="4" t="s">
        <v>171</v>
      </c>
      <c r="H15" s="6" t="s">
        <v>172</v>
      </c>
      <c r="I15" s="7" t="s">
        <v>173</v>
      </c>
      <c r="J15" s="7" t="s">
        <v>174</v>
      </c>
      <c r="K15" s="7" t="s">
        <v>175</v>
      </c>
      <c r="L15" s="8" t="s">
        <v>176</v>
      </c>
      <c r="M15" s="8" t="s">
        <v>177</v>
      </c>
      <c r="N15" s="8" t="s">
        <v>178</v>
      </c>
      <c r="O15" s="6" t="s">
        <v>179</v>
      </c>
      <c r="P15" s="6" t="s">
        <v>180</v>
      </c>
      <c r="Q15" s="6" t="s">
        <v>181</v>
      </c>
      <c r="R15" s="6" t="s">
        <v>182</v>
      </c>
      <c r="S15" s="6" t="s">
        <v>183</v>
      </c>
    </row>
    <row r="16" customFormat="false" ht="72" hidden="false" customHeight="true" outlineLevel="0" collapsed="false">
      <c r="A16" s="9" t="n">
        <v>12</v>
      </c>
      <c r="B16" s="10" t="s">
        <v>184</v>
      </c>
      <c r="C16" s="10" t="s">
        <v>185</v>
      </c>
      <c r="D16" s="9" t="s">
        <v>23</v>
      </c>
      <c r="E16" s="9" t="s">
        <v>132</v>
      </c>
      <c r="F16" s="9" t="s">
        <v>186</v>
      </c>
      <c r="G16" s="9" t="s">
        <v>119</v>
      </c>
      <c r="H16" s="11" t="s">
        <v>187</v>
      </c>
      <c r="I16" s="7" t="s">
        <v>135</v>
      </c>
      <c r="J16" s="7" t="s">
        <v>188</v>
      </c>
      <c r="K16" s="7" t="s">
        <v>189</v>
      </c>
      <c r="L16" s="8" t="s">
        <v>190</v>
      </c>
      <c r="M16" s="8" t="s">
        <v>191</v>
      </c>
      <c r="N16" s="8"/>
      <c r="O16" s="11" t="s">
        <v>192</v>
      </c>
      <c r="P16" s="11" t="s">
        <v>193</v>
      </c>
      <c r="Q16" s="11" t="s">
        <v>194</v>
      </c>
      <c r="R16" s="11" t="s">
        <v>195</v>
      </c>
      <c r="S16" s="11" t="s">
        <v>196</v>
      </c>
    </row>
    <row r="17" customFormat="false" ht="72" hidden="false" customHeight="true" outlineLevel="0" collapsed="false">
      <c r="A17" s="4" t="n">
        <v>13</v>
      </c>
      <c r="B17" s="5" t="s">
        <v>197</v>
      </c>
      <c r="C17" s="5" t="s">
        <v>198</v>
      </c>
      <c r="D17" s="4" t="s">
        <v>41</v>
      </c>
      <c r="E17" s="4" t="s">
        <v>199</v>
      </c>
      <c r="F17" s="4" t="s">
        <v>200</v>
      </c>
      <c r="G17" s="4" t="s">
        <v>26</v>
      </c>
      <c r="H17" s="6" t="s">
        <v>201</v>
      </c>
      <c r="I17" s="7" t="s">
        <v>135</v>
      </c>
      <c r="J17" s="7" t="s">
        <v>202</v>
      </c>
      <c r="K17" s="7" t="s">
        <v>203</v>
      </c>
      <c r="L17" s="8" t="s">
        <v>158</v>
      </c>
      <c r="M17" s="8" t="s">
        <v>204</v>
      </c>
      <c r="N17" s="8" t="s">
        <v>205</v>
      </c>
      <c r="O17" s="6" t="s">
        <v>206</v>
      </c>
      <c r="P17" s="6" t="s">
        <v>207</v>
      </c>
      <c r="Q17" s="6" t="s">
        <v>208</v>
      </c>
      <c r="R17" s="6" t="s">
        <v>209</v>
      </c>
      <c r="S17" s="6" t="s">
        <v>210</v>
      </c>
    </row>
    <row r="18" customFormat="false" ht="72" hidden="false" customHeight="true" outlineLevel="0" collapsed="false">
      <c r="A18" s="9" t="n">
        <v>14</v>
      </c>
      <c r="B18" s="10" t="s">
        <v>211</v>
      </c>
      <c r="C18" s="10" t="s">
        <v>212</v>
      </c>
      <c r="D18" s="9" t="s">
        <v>41</v>
      </c>
      <c r="E18" s="9" t="s">
        <v>213</v>
      </c>
      <c r="F18" s="9" t="s">
        <v>170</v>
      </c>
      <c r="G18" s="9" t="s">
        <v>214</v>
      </c>
      <c r="H18" s="11" t="s">
        <v>215</v>
      </c>
      <c r="I18" s="7" t="s">
        <v>216</v>
      </c>
      <c r="J18" s="7" t="s">
        <v>217</v>
      </c>
      <c r="K18" s="7" t="s">
        <v>218</v>
      </c>
      <c r="L18" s="8" t="s">
        <v>219</v>
      </c>
      <c r="M18" s="8" t="s">
        <v>49</v>
      </c>
      <c r="N18" s="8" t="s">
        <v>220</v>
      </c>
      <c r="O18" s="11" t="s">
        <v>221</v>
      </c>
      <c r="P18" s="11" t="s">
        <v>222</v>
      </c>
      <c r="Q18" s="11" t="s">
        <v>223</v>
      </c>
      <c r="R18" s="11" t="s">
        <v>224</v>
      </c>
      <c r="S18" s="11" t="s">
        <v>225</v>
      </c>
    </row>
    <row r="19" customFormat="false" ht="72" hidden="false" customHeight="true" outlineLevel="0" collapsed="false">
      <c r="A19" s="4" t="n">
        <v>15</v>
      </c>
      <c r="B19" s="5" t="s">
        <v>226</v>
      </c>
      <c r="C19" s="5" t="s">
        <v>227</v>
      </c>
      <c r="D19" s="4" t="s">
        <v>41</v>
      </c>
      <c r="E19" s="4" t="s">
        <v>42</v>
      </c>
      <c r="F19" s="4" t="s">
        <v>228</v>
      </c>
      <c r="G19" s="4" t="s">
        <v>229</v>
      </c>
      <c r="H19" s="6" t="s">
        <v>230</v>
      </c>
      <c r="I19" s="7" t="s">
        <v>64</v>
      </c>
      <c r="J19" s="7" t="s">
        <v>149</v>
      </c>
      <c r="K19" s="7" t="s">
        <v>231</v>
      </c>
      <c r="L19" s="8" t="s">
        <v>49</v>
      </c>
      <c r="M19" s="8" t="s">
        <v>232</v>
      </c>
      <c r="N19" s="8" t="s">
        <v>233</v>
      </c>
      <c r="O19" s="6" t="s">
        <v>234</v>
      </c>
      <c r="P19" s="6" t="s">
        <v>235</v>
      </c>
      <c r="Q19" s="6" t="s">
        <v>236</v>
      </c>
      <c r="R19" s="6" t="s">
        <v>237</v>
      </c>
      <c r="S19" s="6" t="s">
        <v>238</v>
      </c>
    </row>
    <row r="20" customFormat="false" ht="72" hidden="false" customHeight="true" outlineLevel="0" collapsed="false">
      <c r="A20" s="9" t="n">
        <v>16</v>
      </c>
      <c r="B20" s="10" t="s">
        <v>239</v>
      </c>
      <c r="C20" s="10" t="s">
        <v>240</v>
      </c>
      <c r="D20" s="9" t="s">
        <v>41</v>
      </c>
      <c r="E20" s="9" t="s">
        <v>241</v>
      </c>
      <c r="F20" s="9" t="s">
        <v>156</v>
      </c>
      <c r="G20" s="9" t="s">
        <v>171</v>
      </c>
      <c r="H20" s="11" t="s">
        <v>242</v>
      </c>
      <c r="I20" s="7" t="s">
        <v>158</v>
      </c>
      <c r="J20" s="7" t="s">
        <v>243</v>
      </c>
      <c r="K20" s="7" t="s">
        <v>244</v>
      </c>
      <c r="L20" s="8" t="s">
        <v>77</v>
      </c>
      <c r="M20" s="8" t="s">
        <v>245</v>
      </c>
      <c r="N20" s="8" t="s">
        <v>246</v>
      </c>
      <c r="O20" s="11" t="s">
        <v>247</v>
      </c>
      <c r="P20" s="11" t="s">
        <v>248</v>
      </c>
      <c r="Q20" s="11" t="s">
        <v>249</v>
      </c>
      <c r="R20" s="11" t="s">
        <v>250</v>
      </c>
      <c r="S20" s="11" t="s">
        <v>251</v>
      </c>
    </row>
    <row r="21" customFormat="false" ht="72" hidden="false" customHeight="true" outlineLevel="0" collapsed="false">
      <c r="A21" s="4" t="n">
        <v>17</v>
      </c>
      <c r="B21" s="5" t="s">
        <v>252</v>
      </c>
      <c r="C21" s="5" t="s">
        <v>253</v>
      </c>
      <c r="D21" s="4" t="s">
        <v>23</v>
      </c>
      <c r="E21" s="4" t="s">
        <v>144</v>
      </c>
      <c r="F21" s="4" t="s">
        <v>254</v>
      </c>
      <c r="G21" s="4" t="s">
        <v>59</v>
      </c>
      <c r="H21" s="6" t="s">
        <v>255</v>
      </c>
      <c r="I21" s="7" t="s">
        <v>256</v>
      </c>
      <c r="J21" s="7" t="s">
        <v>257</v>
      </c>
      <c r="K21" s="7" t="s">
        <v>258</v>
      </c>
      <c r="L21" s="8" t="s">
        <v>259</v>
      </c>
      <c r="M21" s="8" t="s">
        <v>260</v>
      </c>
      <c r="N21" s="8"/>
      <c r="O21" s="6" t="s">
        <v>261</v>
      </c>
      <c r="P21" s="6" t="s">
        <v>262</v>
      </c>
      <c r="Q21" s="6" t="s">
        <v>263</v>
      </c>
      <c r="R21" s="6" t="s">
        <v>264</v>
      </c>
      <c r="S21" s="6" t="s">
        <v>265</v>
      </c>
    </row>
    <row r="22" customFormat="false" ht="72" hidden="false" customHeight="true" outlineLevel="0" collapsed="false">
      <c r="A22" s="9" t="n">
        <v>18</v>
      </c>
      <c r="B22" s="10" t="s">
        <v>266</v>
      </c>
      <c r="C22" s="10" t="s">
        <v>267</v>
      </c>
      <c r="D22" s="9" t="s">
        <v>23</v>
      </c>
      <c r="E22" s="9" t="s">
        <v>74</v>
      </c>
      <c r="F22" s="9" t="s">
        <v>156</v>
      </c>
      <c r="G22" s="9" t="s">
        <v>44</v>
      </c>
      <c r="H22" s="11" t="s">
        <v>268</v>
      </c>
      <c r="I22" s="7" t="s">
        <v>158</v>
      </c>
      <c r="J22" s="7" t="s">
        <v>269</v>
      </c>
      <c r="K22" s="7" t="s">
        <v>243</v>
      </c>
      <c r="L22" s="8" t="s">
        <v>49</v>
      </c>
      <c r="M22" s="8" t="s">
        <v>270</v>
      </c>
      <c r="N22" s="8" t="s">
        <v>271</v>
      </c>
      <c r="O22" s="11" t="s">
        <v>272</v>
      </c>
      <c r="P22" s="11" t="s">
        <v>273</v>
      </c>
      <c r="Q22" s="11" t="s">
        <v>274</v>
      </c>
      <c r="R22" s="11" t="s">
        <v>275</v>
      </c>
      <c r="S22" s="11" t="s">
        <v>276</v>
      </c>
    </row>
    <row r="23" customFormat="false" ht="72" hidden="false" customHeight="true" outlineLevel="0" collapsed="false">
      <c r="A23" s="4" t="n">
        <v>19</v>
      </c>
      <c r="B23" s="5" t="s">
        <v>277</v>
      </c>
      <c r="C23" s="5" t="s">
        <v>278</v>
      </c>
      <c r="D23" s="4" t="s">
        <v>41</v>
      </c>
      <c r="E23" s="4" t="s">
        <v>241</v>
      </c>
      <c r="F23" s="4" t="s">
        <v>25</v>
      </c>
      <c r="G23" s="4" t="s">
        <v>171</v>
      </c>
      <c r="H23" s="6" t="s">
        <v>279</v>
      </c>
      <c r="I23" s="7" t="s">
        <v>280</v>
      </c>
      <c r="J23" s="7" t="s">
        <v>281</v>
      </c>
      <c r="K23" s="7" t="s">
        <v>282</v>
      </c>
      <c r="L23" s="8" t="s">
        <v>32</v>
      </c>
      <c r="M23" s="8" t="s">
        <v>64</v>
      </c>
      <c r="N23" s="8" t="s">
        <v>283</v>
      </c>
      <c r="O23" s="6" t="s">
        <v>284</v>
      </c>
      <c r="P23" s="6" t="s">
        <v>285</v>
      </c>
      <c r="Q23" s="6" t="s">
        <v>181</v>
      </c>
      <c r="R23" s="6" t="s">
        <v>286</v>
      </c>
      <c r="S23" s="6" t="s">
        <v>287</v>
      </c>
    </row>
    <row r="24" customFormat="false" ht="72" hidden="false" customHeight="true" outlineLevel="0" collapsed="false">
      <c r="A24" s="9" t="n">
        <v>20</v>
      </c>
      <c r="B24" s="10" t="s">
        <v>288</v>
      </c>
      <c r="C24" s="10" t="s">
        <v>289</v>
      </c>
      <c r="D24" s="9" t="s">
        <v>41</v>
      </c>
      <c r="E24" s="9" t="s">
        <v>199</v>
      </c>
      <c r="F24" s="9" t="s">
        <v>228</v>
      </c>
      <c r="G24" s="9" t="s">
        <v>290</v>
      </c>
      <c r="H24" s="11" t="s">
        <v>291</v>
      </c>
      <c r="I24" s="7" t="s">
        <v>292</v>
      </c>
      <c r="J24" s="7" t="s">
        <v>293</v>
      </c>
      <c r="K24" s="7" t="s">
        <v>294</v>
      </c>
      <c r="L24" s="8" t="s">
        <v>161</v>
      </c>
      <c r="M24" s="8" t="s">
        <v>295</v>
      </c>
      <c r="N24" s="8" t="s">
        <v>296</v>
      </c>
      <c r="O24" s="11" t="s">
        <v>297</v>
      </c>
      <c r="P24" s="11" t="s">
        <v>298</v>
      </c>
      <c r="Q24" s="11" t="s">
        <v>299</v>
      </c>
      <c r="R24" s="11" t="s">
        <v>300</v>
      </c>
      <c r="S24" s="11" t="s">
        <v>301</v>
      </c>
    </row>
    <row r="25" customFormat="false" ht="72" hidden="false" customHeight="true" outlineLevel="0" collapsed="false">
      <c r="A25" s="4" t="n">
        <v>21</v>
      </c>
      <c r="B25" s="5" t="s">
        <v>302</v>
      </c>
      <c r="C25" s="5" t="s">
        <v>303</v>
      </c>
      <c r="D25" s="4" t="s">
        <v>41</v>
      </c>
      <c r="E25" s="4" t="s">
        <v>213</v>
      </c>
      <c r="F25" s="4" t="s">
        <v>25</v>
      </c>
      <c r="G25" s="4" t="s">
        <v>304</v>
      </c>
      <c r="H25" s="6" t="s">
        <v>305</v>
      </c>
      <c r="I25" s="7" t="s">
        <v>281</v>
      </c>
      <c r="J25" s="7" t="s">
        <v>280</v>
      </c>
      <c r="K25" s="7" t="s">
        <v>306</v>
      </c>
      <c r="L25" s="8" t="s">
        <v>64</v>
      </c>
      <c r="M25" s="8" t="s">
        <v>307</v>
      </c>
      <c r="N25" s="8" t="s">
        <v>308</v>
      </c>
      <c r="O25" s="6" t="s">
        <v>309</v>
      </c>
      <c r="P25" s="6" t="s">
        <v>310</v>
      </c>
      <c r="Q25" s="6" t="s">
        <v>311</v>
      </c>
      <c r="R25" s="6" t="s">
        <v>312</v>
      </c>
      <c r="S25" s="6" t="s">
        <v>313</v>
      </c>
    </row>
    <row r="27" customFormat="false" ht="15" hidden="false" customHeight="false" outlineLevel="0" collapsed="false">
      <c r="A27" s="2" t="s">
        <v>314</v>
      </c>
    </row>
  </sheetData>
  <autoFilter ref="A4:S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31.5" hidden="false" customHeight="true" outlineLevel="0" collapsed="false">
      <c r="A4" s="3" t="s">
        <v>317</v>
      </c>
      <c r="B4" s="3" t="s">
        <v>318</v>
      </c>
      <c r="C4" s="3" t="s">
        <v>319</v>
      </c>
      <c r="D4" s="3" t="s">
        <v>320</v>
      </c>
    </row>
    <row r="5" customFormat="false" ht="15" hidden="false" customHeight="false" outlineLevel="0" collapsed="false">
      <c r="A5" s="12" t="s">
        <v>25</v>
      </c>
      <c r="B5" s="12" t="n">
        <f aca="false">COUNTIF('Master Profil'!$F$5:$F$25,$A5)</f>
        <v>7</v>
      </c>
      <c r="C5" s="13" t="n">
        <f aca="false">IFERROR(B5/$B$14,0)</f>
        <v>0.333333333333333</v>
      </c>
      <c r="D5" s="14" t="s">
        <v>321</v>
      </c>
    </row>
    <row r="6" customFormat="false" ht="15" hidden="false" customHeight="false" outlineLevel="0" collapsed="false">
      <c r="A6" s="12" t="s">
        <v>156</v>
      </c>
      <c r="B6" s="12" t="n">
        <f aca="false">COUNTIF('Master Profil'!$F$5:$F$25,$A6)</f>
        <v>3</v>
      </c>
      <c r="C6" s="13" t="n">
        <f aca="false">IFERROR(B6/$B$14,0)</f>
        <v>0.142857142857143</v>
      </c>
      <c r="D6" s="14" t="s">
        <v>322</v>
      </c>
    </row>
    <row r="7" customFormat="false" ht="15" hidden="false" customHeight="false" outlineLevel="0" collapsed="false">
      <c r="A7" s="12" t="s">
        <v>89</v>
      </c>
      <c r="B7" s="12" t="n">
        <f aca="false">COUNTIF('Master Profil'!$F$5:$F$25,$A7)</f>
        <v>2</v>
      </c>
      <c r="C7" s="13" t="n">
        <f aca="false">IFERROR(B7/$B$14,0)</f>
        <v>0.0952380952380952</v>
      </c>
      <c r="D7" s="14" t="s">
        <v>323</v>
      </c>
    </row>
    <row r="8" customFormat="false" ht="15" hidden="false" customHeight="false" outlineLevel="0" collapsed="false">
      <c r="A8" s="12" t="s">
        <v>170</v>
      </c>
      <c r="B8" s="12" t="n">
        <f aca="false">COUNTIF('Master Profil'!$F$5:$F$25,$A8)</f>
        <v>2</v>
      </c>
      <c r="C8" s="13" t="n">
        <f aca="false">IFERROR(B8/$B$14,0)</f>
        <v>0.0952380952380952</v>
      </c>
      <c r="D8" s="14" t="s">
        <v>324</v>
      </c>
    </row>
    <row r="9" customFormat="false" ht="15" hidden="false" customHeight="false" outlineLevel="0" collapsed="false">
      <c r="A9" s="12" t="s">
        <v>43</v>
      </c>
      <c r="B9" s="12" t="n">
        <f aca="false">COUNTIF('Master Profil'!$F$5:$F$25,$A9)</f>
        <v>2</v>
      </c>
      <c r="C9" s="13" t="n">
        <f aca="false">IFERROR(B9/$B$14,0)</f>
        <v>0.0952380952380952</v>
      </c>
      <c r="D9" s="14" t="s">
        <v>325</v>
      </c>
    </row>
    <row r="10" customFormat="false" ht="15" hidden="false" customHeight="false" outlineLevel="0" collapsed="false">
      <c r="A10" s="12" t="s">
        <v>228</v>
      </c>
      <c r="B10" s="12" t="n">
        <f aca="false">COUNTIF('Master Profil'!$F$5:$F$25,$A10)</f>
        <v>2</v>
      </c>
      <c r="C10" s="13" t="n">
        <f aca="false">IFERROR(B10/$B$14,0)</f>
        <v>0.0952380952380952</v>
      </c>
      <c r="D10" s="14" t="s">
        <v>326</v>
      </c>
    </row>
    <row r="11" customFormat="false" ht="15" hidden="false" customHeight="false" outlineLevel="0" collapsed="false">
      <c r="A11" s="12" t="s">
        <v>186</v>
      </c>
      <c r="B11" s="12" t="n">
        <f aca="false">COUNTIF('Master Profil'!$F$5:$F$25,$A11)</f>
        <v>1</v>
      </c>
      <c r="C11" s="13" t="n">
        <f aca="false">IFERROR(B11/$B$14,0)</f>
        <v>0.0476190476190476</v>
      </c>
      <c r="D11" s="14" t="s">
        <v>185</v>
      </c>
    </row>
    <row r="12" customFormat="false" ht="15" hidden="false" customHeight="false" outlineLevel="0" collapsed="false">
      <c r="A12" s="12" t="s">
        <v>200</v>
      </c>
      <c r="B12" s="12" t="n">
        <f aca="false">COUNTIF('Master Profil'!$F$5:$F$25,$A12)</f>
        <v>1</v>
      </c>
      <c r="C12" s="13" t="n">
        <f aca="false">IFERROR(B12/$B$14,0)</f>
        <v>0.0476190476190476</v>
      </c>
      <c r="D12" s="14" t="s">
        <v>198</v>
      </c>
    </row>
    <row r="13" customFormat="false" ht="15" hidden="false" customHeight="false" outlineLevel="0" collapsed="false">
      <c r="A13" s="12" t="s">
        <v>254</v>
      </c>
      <c r="B13" s="12" t="n">
        <f aca="false">COUNTIF('Master Profil'!$F$5:$F$25,$A13)</f>
        <v>1</v>
      </c>
      <c r="C13" s="13" t="n">
        <f aca="false">IFERROR(B13/$B$14,0)</f>
        <v>0.0476190476190476</v>
      </c>
      <c r="D13" s="14" t="s">
        <v>253</v>
      </c>
    </row>
    <row r="14" customFormat="false" ht="15" hidden="false" customHeight="false" outlineLevel="0" collapsed="false">
      <c r="A14" s="15" t="s">
        <v>327</v>
      </c>
      <c r="B14" s="15" t="n">
        <f aca="false">SUM(B5:B13)</f>
        <v>21</v>
      </c>
      <c r="C14" s="16" t="n">
        <f aca="false">IFERROR(B14/$B$14,0)</f>
        <v>1</v>
      </c>
      <c r="D14" s="17"/>
    </row>
    <row r="16" customFormat="false" ht="15" hidden="false" customHeight="false" outlineLevel="0" collapsed="false">
      <c r="A16" s="2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329</v>
      </c>
    </row>
    <row r="2" customFormat="false" ht="15" hidden="false" customHeight="false" outlineLevel="0" collapsed="false">
      <c r="A2" s="2" t="s">
        <v>330</v>
      </c>
    </row>
    <row r="4" customFormat="false" ht="31.5" hidden="false" customHeight="true" outlineLevel="0" collapsed="false">
      <c r="A4" s="3" t="s">
        <v>331</v>
      </c>
      <c r="B4" s="3" t="s">
        <v>318</v>
      </c>
      <c r="C4" s="3" t="s">
        <v>319</v>
      </c>
      <c r="D4" s="3" t="s">
        <v>320</v>
      </c>
    </row>
    <row r="5" customFormat="false" ht="15" hidden="false" customHeight="false" outlineLevel="0" collapsed="false">
      <c r="A5" s="12" t="s">
        <v>119</v>
      </c>
      <c r="B5" s="12" t="n">
        <f aca="false">COUNTIF('Master Profil'!$G$5:$G$25,$A5)</f>
        <v>4</v>
      </c>
      <c r="C5" s="13" t="n">
        <f aca="false">IFERROR(B5/$B$16,0)</f>
        <v>0.19047619047619</v>
      </c>
      <c r="D5" s="14" t="s">
        <v>332</v>
      </c>
    </row>
    <row r="6" customFormat="false" ht="15" hidden="false" customHeight="false" outlineLevel="0" collapsed="false">
      <c r="A6" s="12" t="s">
        <v>26</v>
      </c>
      <c r="B6" s="12" t="n">
        <f aca="false">COUNTIF('Master Profil'!$G$5:$G$25,$A6)</f>
        <v>3</v>
      </c>
      <c r="C6" s="13" t="n">
        <f aca="false">IFERROR(B6/$B$16,0)</f>
        <v>0.142857142857143</v>
      </c>
      <c r="D6" s="14" t="s">
        <v>333</v>
      </c>
    </row>
    <row r="7" customFormat="false" ht="15" hidden="false" customHeight="false" outlineLevel="0" collapsed="false">
      <c r="A7" s="12" t="s">
        <v>59</v>
      </c>
      <c r="B7" s="12" t="n">
        <f aca="false">COUNTIF('Master Profil'!$G$5:$G$25,$A7)</f>
        <v>3</v>
      </c>
      <c r="C7" s="13" t="n">
        <f aca="false">IFERROR(B7/$B$16,0)</f>
        <v>0.142857142857143</v>
      </c>
      <c r="D7" s="14" t="s">
        <v>334</v>
      </c>
    </row>
    <row r="8" customFormat="false" ht="15" hidden="false" customHeight="false" outlineLevel="0" collapsed="false">
      <c r="A8" s="12" t="s">
        <v>171</v>
      </c>
      <c r="B8" s="12" t="n">
        <f aca="false">COUNTIF('Master Profil'!$G$5:$G$25,$A8)</f>
        <v>3</v>
      </c>
      <c r="C8" s="13" t="n">
        <f aca="false">IFERROR(B8/$B$16,0)</f>
        <v>0.142857142857143</v>
      </c>
      <c r="D8" s="14" t="s">
        <v>335</v>
      </c>
    </row>
    <row r="9" customFormat="false" ht="15" hidden="false" customHeight="false" outlineLevel="0" collapsed="false">
      <c r="A9" s="12" t="s">
        <v>44</v>
      </c>
      <c r="B9" s="12" t="n">
        <f aca="false">COUNTIF('Master Profil'!$G$5:$G$25,$A9)</f>
        <v>2</v>
      </c>
      <c r="C9" s="13" t="n">
        <f aca="false">IFERROR(B9/$B$16,0)</f>
        <v>0.0952380952380952</v>
      </c>
      <c r="D9" s="14" t="s">
        <v>336</v>
      </c>
    </row>
    <row r="10" customFormat="false" ht="15" hidden="false" customHeight="false" outlineLevel="0" collapsed="false">
      <c r="A10" s="12" t="s">
        <v>90</v>
      </c>
      <c r="B10" s="12" t="n">
        <f aca="false">COUNTIF('Master Profil'!$G$5:$G$25,$A10)</f>
        <v>1</v>
      </c>
      <c r="C10" s="13" t="n">
        <f aca="false">IFERROR(B10/$B$16,0)</f>
        <v>0.0476190476190476</v>
      </c>
      <c r="D10" s="14" t="s">
        <v>87</v>
      </c>
    </row>
    <row r="11" customFormat="false" ht="15" hidden="false" customHeight="false" outlineLevel="0" collapsed="false">
      <c r="A11" s="12" t="s">
        <v>105</v>
      </c>
      <c r="B11" s="12" t="n">
        <f aca="false">COUNTIF('Master Profil'!$G$5:$G$25,$A11)</f>
        <v>1</v>
      </c>
      <c r="C11" s="13" t="n">
        <f aca="false">IFERROR(B11/$B$16,0)</f>
        <v>0.0476190476190476</v>
      </c>
      <c r="D11" s="14" t="s">
        <v>104</v>
      </c>
    </row>
    <row r="12" customFormat="false" ht="15" hidden="false" customHeight="false" outlineLevel="0" collapsed="false">
      <c r="A12" s="12" t="s">
        <v>214</v>
      </c>
      <c r="B12" s="12" t="n">
        <f aca="false">COUNTIF('Master Profil'!$G$5:$G$25,$A12)</f>
        <v>1</v>
      </c>
      <c r="C12" s="13" t="n">
        <f aca="false">IFERROR(B12/$B$16,0)</f>
        <v>0.0476190476190476</v>
      </c>
      <c r="D12" s="14" t="s">
        <v>212</v>
      </c>
    </row>
    <row r="13" customFormat="false" ht="15" hidden="false" customHeight="false" outlineLevel="0" collapsed="false">
      <c r="A13" s="12" t="s">
        <v>229</v>
      </c>
      <c r="B13" s="12" t="n">
        <f aca="false">COUNTIF('Master Profil'!$G$5:$G$25,$A13)</f>
        <v>1</v>
      </c>
      <c r="C13" s="13" t="n">
        <f aca="false">IFERROR(B13/$B$16,0)</f>
        <v>0.0476190476190476</v>
      </c>
      <c r="D13" s="14" t="s">
        <v>227</v>
      </c>
    </row>
    <row r="14" customFormat="false" ht="15" hidden="false" customHeight="false" outlineLevel="0" collapsed="false">
      <c r="A14" s="12" t="s">
        <v>290</v>
      </c>
      <c r="B14" s="12" t="n">
        <f aca="false">COUNTIF('Master Profil'!$G$5:$G$25,$A14)</f>
        <v>1</v>
      </c>
      <c r="C14" s="13" t="n">
        <f aca="false">IFERROR(B14/$B$16,0)</f>
        <v>0.0476190476190476</v>
      </c>
      <c r="D14" s="14" t="s">
        <v>289</v>
      </c>
    </row>
    <row r="15" customFormat="false" ht="15" hidden="false" customHeight="false" outlineLevel="0" collapsed="false">
      <c r="A15" s="12" t="s">
        <v>304</v>
      </c>
      <c r="B15" s="12" t="n">
        <f aca="false">COUNTIF('Master Profil'!$G$5:$G$25,$A15)</f>
        <v>1</v>
      </c>
      <c r="C15" s="13" t="n">
        <f aca="false">IFERROR(B15/$B$16,0)</f>
        <v>0.0476190476190476</v>
      </c>
      <c r="D15" s="14" t="s">
        <v>303</v>
      </c>
    </row>
    <row r="16" customFormat="false" ht="15" hidden="false" customHeight="false" outlineLevel="0" collapsed="false">
      <c r="A16" s="15" t="s">
        <v>327</v>
      </c>
      <c r="B16" s="15" t="n">
        <f aca="false">SUM(B5:B15)</f>
        <v>21</v>
      </c>
      <c r="C16" s="16" t="n">
        <f aca="false">IFERROR(B16/$B$16,0)</f>
        <v>1</v>
      </c>
      <c r="D16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9"/>
  </cols>
  <sheetData>
    <row r="1" customFormat="false" ht="17.35" hidden="false" customHeight="false" outlineLevel="0" collapsed="false">
      <c r="A1" s="1" t="s">
        <v>337</v>
      </c>
    </row>
    <row r="2" customFormat="false" ht="15" hidden="false" customHeight="false" outlineLevel="0" collapsed="false">
      <c r="A2" s="2" t="s">
        <v>338</v>
      </c>
    </row>
    <row r="4" customFormat="false" ht="31.5" hidden="false" customHeight="true" outlineLevel="0" collapsed="false">
      <c r="A4" s="3" t="s">
        <v>339</v>
      </c>
      <c r="B4" s="3" t="s">
        <v>119</v>
      </c>
      <c r="C4" s="3" t="s">
        <v>26</v>
      </c>
      <c r="D4" s="3" t="s">
        <v>59</v>
      </c>
      <c r="E4" s="3" t="s">
        <v>171</v>
      </c>
      <c r="F4" s="3" t="s">
        <v>44</v>
      </c>
      <c r="G4" s="3" t="s">
        <v>90</v>
      </c>
      <c r="H4" s="3" t="s">
        <v>105</v>
      </c>
      <c r="I4" s="3" t="s">
        <v>214</v>
      </c>
      <c r="J4" s="3" t="s">
        <v>229</v>
      </c>
      <c r="K4" s="3" t="s">
        <v>290</v>
      </c>
      <c r="L4" s="3" t="s">
        <v>304</v>
      </c>
      <c r="M4" s="3" t="s">
        <v>340</v>
      </c>
    </row>
    <row r="5" customFormat="false" ht="15" hidden="false" customHeight="false" outlineLevel="0" collapsed="false">
      <c r="A5" s="18" t="s">
        <v>25</v>
      </c>
      <c r="B5" s="19" t="n">
        <f aca="false">COUNTIFS('Master Profil'!$F$5:$F$25,$A5,'Master Profil'!$G$5:$G$25,B$4)</f>
        <v>1</v>
      </c>
      <c r="C5" s="19" t="n">
        <f aca="false">COUNTIFS('Master Profil'!$F$5:$F$25,$A5,'Master Profil'!$G$5:$G$25,C$4)</f>
        <v>2</v>
      </c>
      <c r="D5" s="19" t="n">
        <f aca="false">COUNTIFS('Master Profil'!$F$5:$F$25,$A5,'Master Profil'!$G$5:$G$25,D$4)</f>
        <v>2</v>
      </c>
      <c r="E5" s="19" t="n">
        <f aca="false">COUNTIFS('Master Profil'!$F$5:$F$25,$A5,'Master Profil'!$G$5:$G$25,E$4)</f>
        <v>1</v>
      </c>
      <c r="F5" s="19" t="n">
        <f aca="false">COUNTIFS('Master Profil'!$F$5:$F$25,$A5,'Master Profil'!$G$5:$G$25,F$4)</f>
        <v>0</v>
      </c>
      <c r="G5" s="19" t="n">
        <f aca="false">COUNTIFS('Master Profil'!$F$5:$F$25,$A5,'Master Profil'!$G$5:$G$25,G$4)</f>
        <v>0</v>
      </c>
      <c r="H5" s="19" t="n">
        <f aca="false">COUNTIFS('Master Profil'!$F$5:$F$25,$A5,'Master Profil'!$G$5:$G$25,H$4)</f>
        <v>0</v>
      </c>
      <c r="I5" s="19" t="n">
        <f aca="false">COUNTIFS('Master Profil'!$F$5:$F$25,$A5,'Master Profil'!$G$5:$G$25,I$4)</f>
        <v>0</v>
      </c>
      <c r="J5" s="19" t="n">
        <f aca="false">COUNTIFS('Master Profil'!$F$5:$F$25,$A5,'Master Profil'!$G$5:$G$25,J$4)</f>
        <v>0</v>
      </c>
      <c r="K5" s="19" t="n">
        <f aca="false">COUNTIFS('Master Profil'!$F$5:$F$25,$A5,'Master Profil'!$G$5:$G$25,K$4)</f>
        <v>0</v>
      </c>
      <c r="L5" s="19" t="n">
        <f aca="false">COUNTIFS('Master Profil'!$F$5:$F$25,$A5,'Master Profil'!$G$5:$G$25,L$4)</f>
        <v>1</v>
      </c>
      <c r="M5" s="19" t="n">
        <f aca="false">SUM(B5:L5)</f>
        <v>7</v>
      </c>
    </row>
    <row r="6" customFormat="false" ht="15" hidden="false" customHeight="false" outlineLevel="0" collapsed="false">
      <c r="A6" s="18" t="s">
        <v>156</v>
      </c>
      <c r="B6" s="19" t="n">
        <f aca="false">COUNTIFS('Master Profil'!$F$5:$F$25,$A6,'Master Profil'!$G$5:$G$25,B$4)</f>
        <v>1</v>
      </c>
      <c r="C6" s="19" t="n">
        <f aca="false">COUNTIFS('Master Profil'!$F$5:$F$25,$A6,'Master Profil'!$G$5:$G$25,C$4)</f>
        <v>0</v>
      </c>
      <c r="D6" s="19" t="n">
        <f aca="false">COUNTIFS('Master Profil'!$F$5:$F$25,$A6,'Master Profil'!$G$5:$G$25,D$4)</f>
        <v>0</v>
      </c>
      <c r="E6" s="19" t="n">
        <f aca="false">COUNTIFS('Master Profil'!$F$5:$F$25,$A6,'Master Profil'!$G$5:$G$25,E$4)</f>
        <v>1</v>
      </c>
      <c r="F6" s="19" t="n">
        <f aca="false">COUNTIFS('Master Profil'!$F$5:$F$25,$A6,'Master Profil'!$G$5:$G$25,F$4)</f>
        <v>1</v>
      </c>
      <c r="G6" s="19" t="n">
        <f aca="false">COUNTIFS('Master Profil'!$F$5:$F$25,$A6,'Master Profil'!$G$5:$G$25,G$4)</f>
        <v>0</v>
      </c>
      <c r="H6" s="19" t="n">
        <f aca="false">COUNTIFS('Master Profil'!$F$5:$F$25,$A6,'Master Profil'!$G$5:$G$25,H$4)</f>
        <v>0</v>
      </c>
      <c r="I6" s="19" t="n">
        <f aca="false">COUNTIFS('Master Profil'!$F$5:$F$25,$A6,'Master Profil'!$G$5:$G$25,I$4)</f>
        <v>0</v>
      </c>
      <c r="J6" s="19" t="n">
        <f aca="false">COUNTIFS('Master Profil'!$F$5:$F$25,$A6,'Master Profil'!$G$5:$G$25,J$4)</f>
        <v>0</v>
      </c>
      <c r="K6" s="19" t="n">
        <f aca="false">COUNTIFS('Master Profil'!$F$5:$F$25,$A6,'Master Profil'!$G$5:$G$25,K$4)</f>
        <v>0</v>
      </c>
      <c r="L6" s="19" t="n">
        <f aca="false">COUNTIFS('Master Profil'!$F$5:$F$25,$A6,'Master Profil'!$G$5:$G$25,L$4)</f>
        <v>0</v>
      </c>
      <c r="M6" s="19" t="n">
        <f aca="false">SUM(B6:L6)</f>
        <v>3</v>
      </c>
    </row>
    <row r="7" customFormat="false" ht="15" hidden="false" customHeight="false" outlineLevel="0" collapsed="false">
      <c r="A7" s="18" t="s">
        <v>89</v>
      </c>
      <c r="B7" s="19" t="n">
        <f aca="false">COUNTIFS('Master Profil'!$F$5:$F$25,$A7,'Master Profil'!$G$5:$G$25,B$4)</f>
        <v>1</v>
      </c>
      <c r="C7" s="19" t="n">
        <f aca="false">COUNTIFS('Master Profil'!$F$5:$F$25,$A7,'Master Profil'!$G$5:$G$25,C$4)</f>
        <v>0</v>
      </c>
      <c r="D7" s="19" t="n">
        <f aca="false">COUNTIFS('Master Profil'!$F$5:$F$25,$A7,'Master Profil'!$G$5:$G$25,D$4)</f>
        <v>0</v>
      </c>
      <c r="E7" s="19" t="n">
        <f aca="false">COUNTIFS('Master Profil'!$F$5:$F$25,$A7,'Master Profil'!$G$5:$G$25,E$4)</f>
        <v>0</v>
      </c>
      <c r="F7" s="19" t="n">
        <f aca="false">COUNTIFS('Master Profil'!$F$5:$F$25,$A7,'Master Profil'!$G$5:$G$25,F$4)</f>
        <v>0</v>
      </c>
      <c r="G7" s="19" t="n">
        <f aca="false">COUNTIFS('Master Profil'!$F$5:$F$25,$A7,'Master Profil'!$G$5:$G$25,G$4)</f>
        <v>1</v>
      </c>
      <c r="H7" s="19" t="n">
        <f aca="false">COUNTIFS('Master Profil'!$F$5:$F$25,$A7,'Master Profil'!$G$5:$G$25,H$4)</f>
        <v>0</v>
      </c>
      <c r="I7" s="19" t="n">
        <f aca="false">COUNTIFS('Master Profil'!$F$5:$F$25,$A7,'Master Profil'!$G$5:$G$25,I$4)</f>
        <v>0</v>
      </c>
      <c r="J7" s="19" t="n">
        <f aca="false">COUNTIFS('Master Profil'!$F$5:$F$25,$A7,'Master Profil'!$G$5:$G$25,J$4)</f>
        <v>0</v>
      </c>
      <c r="K7" s="19" t="n">
        <f aca="false">COUNTIFS('Master Profil'!$F$5:$F$25,$A7,'Master Profil'!$G$5:$G$25,K$4)</f>
        <v>0</v>
      </c>
      <c r="L7" s="19" t="n">
        <f aca="false">COUNTIFS('Master Profil'!$F$5:$F$25,$A7,'Master Profil'!$G$5:$G$25,L$4)</f>
        <v>0</v>
      </c>
      <c r="M7" s="19" t="n">
        <f aca="false">SUM(B7:L7)</f>
        <v>2</v>
      </c>
    </row>
    <row r="8" customFormat="false" ht="15" hidden="false" customHeight="false" outlineLevel="0" collapsed="false">
      <c r="A8" s="18" t="s">
        <v>170</v>
      </c>
      <c r="B8" s="19" t="n">
        <f aca="false">COUNTIFS('Master Profil'!$F$5:$F$25,$A8,'Master Profil'!$G$5:$G$25,B$4)</f>
        <v>0</v>
      </c>
      <c r="C8" s="19" t="n">
        <f aca="false">COUNTIFS('Master Profil'!$F$5:$F$25,$A8,'Master Profil'!$G$5:$G$25,C$4)</f>
        <v>0</v>
      </c>
      <c r="D8" s="19" t="n">
        <f aca="false">COUNTIFS('Master Profil'!$F$5:$F$25,$A8,'Master Profil'!$G$5:$G$25,D$4)</f>
        <v>0</v>
      </c>
      <c r="E8" s="19" t="n">
        <f aca="false">COUNTIFS('Master Profil'!$F$5:$F$25,$A8,'Master Profil'!$G$5:$G$25,E$4)</f>
        <v>1</v>
      </c>
      <c r="F8" s="19" t="n">
        <f aca="false">COUNTIFS('Master Profil'!$F$5:$F$25,$A8,'Master Profil'!$G$5:$G$25,F$4)</f>
        <v>0</v>
      </c>
      <c r="G8" s="19" t="n">
        <f aca="false">COUNTIFS('Master Profil'!$F$5:$F$25,$A8,'Master Profil'!$G$5:$G$25,G$4)</f>
        <v>0</v>
      </c>
      <c r="H8" s="19" t="n">
        <f aca="false">COUNTIFS('Master Profil'!$F$5:$F$25,$A8,'Master Profil'!$G$5:$G$25,H$4)</f>
        <v>0</v>
      </c>
      <c r="I8" s="19" t="n">
        <f aca="false">COUNTIFS('Master Profil'!$F$5:$F$25,$A8,'Master Profil'!$G$5:$G$25,I$4)</f>
        <v>1</v>
      </c>
      <c r="J8" s="19" t="n">
        <f aca="false">COUNTIFS('Master Profil'!$F$5:$F$25,$A8,'Master Profil'!$G$5:$G$25,J$4)</f>
        <v>0</v>
      </c>
      <c r="K8" s="19" t="n">
        <f aca="false">COUNTIFS('Master Profil'!$F$5:$F$25,$A8,'Master Profil'!$G$5:$G$25,K$4)</f>
        <v>0</v>
      </c>
      <c r="L8" s="19" t="n">
        <f aca="false">COUNTIFS('Master Profil'!$F$5:$F$25,$A8,'Master Profil'!$G$5:$G$25,L$4)</f>
        <v>0</v>
      </c>
      <c r="M8" s="19" t="n">
        <f aca="false">SUM(B8:L8)</f>
        <v>2</v>
      </c>
    </row>
    <row r="9" customFormat="false" ht="15" hidden="false" customHeight="false" outlineLevel="0" collapsed="false">
      <c r="A9" s="18" t="s">
        <v>43</v>
      </c>
      <c r="B9" s="19" t="n">
        <f aca="false">COUNTIFS('Master Profil'!$F$5:$F$25,$A9,'Master Profil'!$G$5:$G$25,B$4)</f>
        <v>0</v>
      </c>
      <c r="C9" s="19" t="n">
        <f aca="false">COUNTIFS('Master Profil'!$F$5:$F$25,$A9,'Master Profil'!$G$5:$G$25,C$4)</f>
        <v>0</v>
      </c>
      <c r="D9" s="19" t="n">
        <f aca="false">COUNTIFS('Master Profil'!$F$5:$F$25,$A9,'Master Profil'!$G$5:$G$25,D$4)</f>
        <v>0</v>
      </c>
      <c r="E9" s="19" t="n">
        <f aca="false">COUNTIFS('Master Profil'!$F$5:$F$25,$A9,'Master Profil'!$G$5:$G$25,E$4)</f>
        <v>0</v>
      </c>
      <c r="F9" s="19" t="n">
        <f aca="false">COUNTIFS('Master Profil'!$F$5:$F$25,$A9,'Master Profil'!$G$5:$G$25,F$4)</f>
        <v>1</v>
      </c>
      <c r="G9" s="19" t="n">
        <f aca="false">COUNTIFS('Master Profil'!$F$5:$F$25,$A9,'Master Profil'!$G$5:$G$25,G$4)</f>
        <v>0</v>
      </c>
      <c r="H9" s="19" t="n">
        <f aca="false">COUNTIFS('Master Profil'!$F$5:$F$25,$A9,'Master Profil'!$G$5:$G$25,H$4)</f>
        <v>1</v>
      </c>
      <c r="I9" s="19" t="n">
        <f aca="false">COUNTIFS('Master Profil'!$F$5:$F$25,$A9,'Master Profil'!$G$5:$G$25,I$4)</f>
        <v>0</v>
      </c>
      <c r="J9" s="19" t="n">
        <f aca="false">COUNTIFS('Master Profil'!$F$5:$F$25,$A9,'Master Profil'!$G$5:$G$25,J$4)</f>
        <v>0</v>
      </c>
      <c r="K9" s="19" t="n">
        <f aca="false">COUNTIFS('Master Profil'!$F$5:$F$25,$A9,'Master Profil'!$G$5:$G$25,K$4)</f>
        <v>0</v>
      </c>
      <c r="L9" s="19" t="n">
        <f aca="false">COUNTIFS('Master Profil'!$F$5:$F$25,$A9,'Master Profil'!$G$5:$G$25,L$4)</f>
        <v>0</v>
      </c>
      <c r="M9" s="19" t="n">
        <f aca="false">SUM(B9:L9)</f>
        <v>2</v>
      </c>
    </row>
    <row r="10" customFormat="false" ht="15" hidden="false" customHeight="false" outlineLevel="0" collapsed="false">
      <c r="A10" s="18" t="s">
        <v>228</v>
      </c>
      <c r="B10" s="19" t="n">
        <f aca="false">COUNTIFS('Master Profil'!$F$5:$F$25,$A10,'Master Profil'!$G$5:$G$25,B$4)</f>
        <v>0</v>
      </c>
      <c r="C10" s="19" t="n">
        <f aca="false">COUNTIFS('Master Profil'!$F$5:$F$25,$A10,'Master Profil'!$G$5:$G$25,C$4)</f>
        <v>0</v>
      </c>
      <c r="D10" s="19" t="n">
        <f aca="false">COUNTIFS('Master Profil'!$F$5:$F$25,$A10,'Master Profil'!$G$5:$G$25,D$4)</f>
        <v>0</v>
      </c>
      <c r="E10" s="19" t="n">
        <f aca="false">COUNTIFS('Master Profil'!$F$5:$F$25,$A10,'Master Profil'!$G$5:$G$25,E$4)</f>
        <v>0</v>
      </c>
      <c r="F10" s="19" t="n">
        <f aca="false">COUNTIFS('Master Profil'!$F$5:$F$25,$A10,'Master Profil'!$G$5:$G$25,F$4)</f>
        <v>0</v>
      </c>
      <c r="G10" s="19" t="n">
        <f aca="false">COUNTIFS('Master Profil'!$F$5:$F$25,$A10,'Master Profil'!$G$5:$G$25,G$4)</f>
        <v>0</v>
      </c>
      <c r="H10" s="19" t="n">
        <f aca="false">COUNTIFS('Master Profil'!$F$5:$F$25,$A10,'Master Profil'!$G$5:$G$25,H$4)</f>
        <v>0</v>
      </c>
      <c r="I10" s="19" t="n">
        <f aca="false">COUNTIFS('Master Profil'!$F$5:$F$25,$A10,'Master Profil'!$G$5:$G$25,I$4)</f>
        <v>0</v>
      </c>
      <c r="J10" s="19" t="n">
        <f aca="false">COUNTIFS('Master Profil'!$F$5:$F$25,$A10,'Master Profil'!$G$5:$G$25,J$4)</f>
        <v>1</v>
      </c>
      <c r="K10" s="19" t="n">
        <f aca="false">COUNTIFS('Master Profil'!$F$5:$F$25,$A10,'Master Profil'!$G$5:$G$25,K$4)</f>
        <v>1</v>
      </c>
      <c r="L10" s="19" t="n">
        <f aca="false">COUNTIFS('Master Profil'!$F$5:$F$25,$A10,'Master Profil'!$G$5:$G$25,L$4)</f>
        <v>0</v>
      </c>
      <c r="M10" s="19" t="n">
        <f aca="false">SUM(B10:L10)</f>
        <v>2</v>
      </c>
    </row>
    <row r="11" customFormat="false" ht="15" hidden="false" customHeight="false" outlineLevel="0" collapsed="false">
      <c r="A11" s="18" t="s">
        <v>186</v>
      </c>
      <c r="B11" s="19" t="n">
        <f aca="false">COUNTIFS('Master Profil'!$F$5:$F$25,$A11,'Master Profil'!$G$5:$G$25,B$4)</f>
        <v>1</v>
      </c>
      <c r="C11" s="19" t="n">
        <f aca="false">COUNTIFS('Master Profil'!$F$5:$F$25,$A11,'Master Profil'!$G$5:$G$25,C$4)</f>
        <v>0</v>
      </c>
      <c r="D11" s="19" t="n">
        <f aca="false">COUNTIFS('Master Profil'!$F$5:$F$25,$A11,'Master Profil'!$G$5:$G$25,D$4)</f>
        <v>0</v>
      </c>
      <c r="E11" s="19" t="n">
        <f aca="false">COUNTIFS('Master Profil'!$F$5:$F$25,$A11,'Master Profil'!$G$5:$G$25,E$4)</f>
        <v>0</v>
      </c>
      <c r="F11" s="19" t="n">
        <f aca="false">COUNTIFS('Master Profil'!$F$5:$F$25,$A11,'Master Profil'!$G$5:$G$25,F$4)</f>
        <v>0</v>
      </c>
      <c r="G11" s="19" t="n">
        <f aca="false">COUNTIFS('Master Profil'!$F$5:$F$25,$A11,'Master Profil'!$G$5:$G$25,G$4)</f>
        <v>0</v>
      </c>
      <c r="H11" s="19" t="n">
        <f aca="false">COUNTIFS('Master Profil'!$F$5:$F$25,$A11,'Master Profil'!$G$5:$G$25,H$4)</f>
        <v>0</v>
      </c>
      <c r="I11" s="19" t="n">
        <f aca="false">COUNTIFS('Master Profil'!$F$5:$F$25,$A11,'Master Profil'!$G$5:$G$25,I$4)</f>
        <v>0</v>
      </c>
      <c r="J11" s="19" t="n">
        <f aca="false">COUNTIFS('Master Profil'!$F$5:$F$25,$A11,'Master Profil'!$G$5:$G$25,J$4)</f>
        <v>0</v>
      </c>
      <c r="K11" s="19" t="n">
        <f aca="false">COUNTIFS('Master Profil'!$F$5:$F$25,$A11,'Master Profil'!$G$5:$G$25,K$4)</f>
        <v>0</v>
      </c>
      <c r="L11" s="19" t="n">
        <f aca="false">COUNTIFS('Master Profil'!$F$5:$F$25,$A11,'Master Profil'!$G$5:$G$25,L$4)</f>
        <v>0</v>
      </c>
      <c r="M11" s="19" t="n">
        <f aca="false">SUM(B11:L11)</f>
        <v>1</v>
      </c>
    </row>
    <row r="12" customFormat="false" ht="15" hidden="false" customHeight="false" outlineLevel="0" collapsed="false">
      <c r="A12" s="18" t="s">
        <v>200</v>
      </c>
      <c r="B12" s="19" t="n">
        <f aca="false">COUNTIFS('Master Profil'!$F$5:$F$25,$A12,'Master Profil'!$G$5:$G$25,B$4)</f>
        <v>0</v>
      </c>
      <c r="C12" s="19" t="n">
        <f aca="false">COUNTIFS('Master Profil'!$F$5:$F$25,$A12,'Master Profil'!$G$5:$G$25,C$4)</f>
        <v>1</v>
      </c>
      <c r="D12" s="19" t="n">
        <f aca="false">COUNTIFS('Master Profil'!$F$5:$F$25,$A12,'Master Profil'!$G$5:$G$25,D$4)</f>
        <v>0</v>
      </c>
      <c r="E12" s="19" t="n">
        <f aca="false">COUNTIFS('Master Profil'!$F$5:$F$25,$A12,'Master Profil'!$G$5:$G$25,E$4)</f>
        <v>0</v>
      </c>
      <c r="F12" s="19" t="n">
        <f aca="false">COUNTIFS('Master Profil'!$F$5:$F$25,$A12,'Master Profil'!$G$5:$G$25,F$4)</f>
        <v>0</v>
      </c>
      <c r="G12" s="19" t="n">
        <f aca="false">COUNTIFS('Master Profil'!$F$5:$F$25,$A12,'Master Profil'!$G$5:$G$25,G$4)</f>
        <v>0</v>
      </c>
      <c r="H12" s="19" t="n">
        <f aca="false">COUNTIFS('Master Profil'!$F$5:$F$25,$A12,'Master Profil'!$G$5:$G$25,H$4)</f>
        <v>0</v>
      </c>
      <c r="I12" s="19" t="n">
        <f aca="false">COUNTIFS('Master Profil'!$F$5:$F$25,$A12,'Master Profil'!$G$5:$G$25,I$4)</f>
        <v>0</v>
      </c>
      <c r="J12" s="19" t="n">
        <f aca="false">COUNTIFS('Master Profil'!$F$5:$F$25,$A12,'Master Profil'!$G$5:$G$25,J$4)</f>
        <v>0</v>
      </c>
      <c r="K12" s="19" t="n">
        <f aca="false">COUNTIFS('Master Profil'!$F$5:$F$25,$A12,'Master Profil'!$G$5:$G$25,K$4)</f>
        <v>0</v>
      </c>
      <c r="L12" s="19" t="n">
        <f aca="false">COUNTIFS('Master Profil'!$F$5:$F$25,$A12,'Master Profil'!$G$5:$G$25,L$4)</f>
        <v>0</v>
      </c>
      <c r="M12" s="19" t="n">
        <f aca="false">SUM(B12:L12)</f>
        <v>1</v>
      </c>
    </row>
    <row r="13" customFormat="false" ht="15" hidden="false" customHeight="false" outlineLevel="0" collapsed="false">
      <c r="A13" s="18" t="s">
        <v>254</v>
      </c>
      <c r="B13" s="19" t="n">
        <f aca="false">COUNTIFS('Master Profil'!$F$5:$F$25,$A13,'Master Profil'!$G$5:$G$25,B$4)</f>
        <v>0</v>
      </c>
      <c r="C13" s="19" t="n">
        <f aca="false">COUNTIFS('Master Profil'!$F$5:$F$25,$A13,'Master Profil'!$G$5:$G$25,C$4)</f>
        <v>0</v>
      </c>
      <c r="D13" s="19" t="n">
        <f aca="false">COUNTIFS('Master Profil'!$F$5:$F$25,$A13,'Master Profil'!$G$5:$G$25,D$4)</f>
        <v>1</v>
      </c>
      <c r="E13" s="19" t="n">
        <f aca="false">COUNTIFS('Master Profil'!$F$5:$F$25,$A13,'Master Profil'!$G$5:$G$25,E$4)</f>
        <v>0</v>
      </c>
      <c r="F13" s="19" t="n">
        <f aca="false">COUNTIFS('Master Profil'!$F$5:$F$25,$A13,'Master Profil'!$G$5:$G$25,F$4)</f>
        <v>0</v>
      </c>
      <c r="G13" s="19" t="n">
        <f aca="false">COUNTIFS('Master Profil'!$F$5:$F$25,$A13,'Master Profil'!$G$5:$G$25,G$4)</f>
        <v>0</v>
      </c>
      <c r="H13" s="19" t="n">
        <f aca="false">COUNTIFS('Master Profil'!$F$5:$F$25,$A13,'Master Profil'!$G$5:$G$25,H$4)</f>
        <v>0</v>
      </c>
      <c r="I13" s="19" t="n">
        <f aca="false">COUNTIFS('Master Profil'!$F$5:$F$25,$A13,'Master Profil'!$G$5:$G$25,I$4)</f>
        <v>0</v>
      </c>
      <c r="J13" s="19" t="n">
        <f aca="false">COUNTIFS('Master Profil'!$F$5:$F$25,$A13,'Master Profil'!$G$5:$G$25,J$4)</f>
        <v>0</v>
      </c>
      <c r="K13" s="19" t="n">
        <f aca="false">COUNTIFS('Master Profil'!$F$5:$F$25,$A13,'Master Profil'!$G$5:$G$25,K$4)</f>
        <v>0</v>
      </c>
      <c r="L13" s="19" t="n">
        <f aca="false">COUNTIFS('Master Profil'!$F$5:$F$25,$A13,'Master Profil'!$G$5:$G$25,L$4)</f>
        <v>0</v>
      </c>
      <c r="M13" s="19" t="n">
        <f aca="false">SUM(B13:L13)</f>
        <v>1</v>
      </c>
    </row>
    <row r="14" customFormat="false" ht="15" hidden="false" customHeight="false" outlineLevel="0" collapsed="false">
      <c r="A14" s="17" t="s">
        <v>340</v>
      </c>
      <c r="B14" s="15" t="n">
        <f aca="false">SUM(B5:B13)</f>
        <v>4</v>
      </c>
      <c r="C14" s="15" t="n">
        <f aca="false">SUM(C5:C13)</f>
        <v>3</v>
      </c>
      <c r="D14" s="15" t="n">
        <f aca="false">SUM(D5:D13)</f>
        <v>3</v>
      </c>
      <c r="E14" s="15" t="n">
        <f aca="false">SUM(E5:E13)</f>
        <v>3</v>
      </c>
      <c r="F14" s="15" t="n">
        <f aca="false">SUM(F5:F13)</f>
        <v>2</v>
      </c>
      <c r="G14" s="15" t="n">
        <f aca="false">SUM(G5:G13)</f>
        <v>1</v>
      </c>
      <c r="H14" s="15" t="n">
        <f aca="false">SUM(H5:H13)</f>
        <v>1</v>
      </c>
      <c r="I14" s="15" t="n">
        <f aca="false">SUM(I5:I13)</f>
        <v>1</v>
      </c>
      <c r="J14" s="15" t="n">
        <f aca="false">SUM(J5:J13)</f>
        <v>1</v>
      </c>
      <c r="K14" s="15" t="n">
        <f aca="false">SUM(K5:K13)</f>
        <v>1</v>
      </c>
      <c r="L14" s="15" t="n">
        <f aca="false">SUM(L5:L13)</f>
        <v>1</v>
      </c>
      <c r="M14" s="15" t="n">
        <f aca="false">SUM(M5:M13)</f>
        <v>21</v>
      </c>
    </row>
    <row r="16" customFormat="false" ht="15" hidden="false" customHeight="false" outlineLevel="0" collapsed="false">
      <c r="A16" s="2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31.5" hidden="false" customHeight="true" outlineLevel="0" collapsed="false">
      <c r="A4" s="3" t="s">
        <v>2</v>
      </c>
      <c r="B4" s="3" t="s">
        <v>344</v>
      </c>
      <c r="C4" s="3" t="s">
        <v>345</v>
      </c>
      <c r="D4" s="3" t="s">
        <v>346</v>
      </c>
    </row>
    <row r="5" customFormat="false" ht="27.75" hidden="false" customHeight="true" outlineLevel="0" collapsed="false">
      <c r="A5" s="12" t="n">
        <v>1</v>
      </c>
      <c r="B5" s="20" t="s">
        <v>65</v>
      </c>
      <c r="C5" s="21" t="s">
        <v>347</v>
      </c>
      <c r="D5" s="14" t="s">
        <v>348</v>
      </c>
    </row>
    <row r="6" customFormat="false" ht="27.75" hidden="false" customHeight="true" outlineLevel="0" collapsed="false">
      <c r="A6" s="12" t="n">
        <v>2</v>
      </c>
      <c r="B6" s="20" t="s">
        <v>49</v>
      </c>
      <c r="C6" s="21" t="s">
        <v>349</v>
      </c>
      <c r="D6" s="14" t="s">
        <v>350</v>
      </c>
    </row>
    <row r="7" customFormat="false" ht="27.75" hidden="false" customHeight="true" outlineLevel="0" collapsed="false">
      <c r="A7" s="12" t="n">
        <v>3</v>
      </c>
      <c r="B7" s="20" t="s">
        <v>219</v>
      </c>
      <c r="C7" s="21" t="s">
        <v>351</v>
      </c>
      <c r="D7" s="14" t="s">
        <v>352</v>
      </c>
    </row>
    <row r="8" customFormat="false" ht="27.75" hidden="false" customHeight="true" outlineLevel="0" collapsed="false">
      <c r="A8" s="12" t="n">
        <v>4</v>
      </c>
      <c r="B8" s="20" t="s">
        <v>205</v>
      </c>
      <c r="C8" s="21" t="s">
        <v>353</v>
      </c>
      <c r="D8" s="14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2026-09-07T13:20:14Z</dcterms:created>
  <dc:creator>openpyxl</dc:creator>
  <dc:description/>
  <dc:language>en-US</dc:language>
  <cp:lastModifiedBy/>
  <dcterms:modified xsi:type="dcterms:W3CDTF">2026-09-07T13:20:14Z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