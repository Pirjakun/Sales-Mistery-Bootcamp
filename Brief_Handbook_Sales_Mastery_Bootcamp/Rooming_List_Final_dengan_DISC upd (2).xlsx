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9B73B82-FC59-4767-8D79-822BB9EEB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oming List" sheetId="1" r:id="rId1"/>
    <sheet name="Daftar Penghuni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5" i="1"/>
  <c r="A5" i="1"/>
</calcChain>
</file>

<file path=xl/sharedStrings.xml><?xml version="1.0" encoding="utf-8"?>
<sst xmlns="http://schemas.openxmlformats.org/spreadsheetml/2006/main" count="207" uniqueCount="115">
  <si>
    <t>ROOMING LIST</t>
  </si>
  <si>
    <t>Final Room Assignment — Nama &amp; DISC</t>
  </si>
  <si>
    <t>TOTAL KAMAR</t>
  </si>
  <si>
    <t>EXTRA BED</t>
  </si>
  <si>
    <t>TOTAL SLOT PENGHUNI</t>
  </si>
  <si>
    <t>LANTAI BAWAH</t>
  </si>
  <si>
    <t>No.</t>
  </si>
  <si>
    <t>Kamar</t>
  </si>
  <si>
    <t>Tipe</t>
  </si>
  <si>
    <t>Penghuni 1 (DISC)</t>
  </si>
  <si>
    <t>Penghuni 2 (DISC)</t>
  </si>
  <si>
    <t>Penghuni 3 (DISC)</t>
  </si>
  <si>
    <t>411</t>
  </si>
  <si>
    <t>TRP (+1 EB)</t>
  </si>
  <si>
    <t>Chelsy (–)</t>
  </si>
  <si>
    <t>Nanda (D/I)</t>
  </si>
  <si>
    <t>Mitha (S/C)</t>
  </si>
  <si>
    <t>412</t>
  </si>
  <si>
    <t>Mya (D/C)</t>
  </si>
  <si>
    <t>Dita (D/C)</t>
  </si>
  <si>
    <t>Okki (I/S)</t>
  </si>
  <si>
    <t>413</t>
  </si>
  <si>
    <t>Bagus (D/I)</t>
  </si>
  <si>
    <t>Adiel (S/C)</t>
  </si>
  <si>
    <t>414</t>
  </si>
  <si>
    <t>DBL</t>
  </si>
  <si>
    <t>Eyang (–)</t>
  </si>
  <si>
    <t>Bu Bintang (–)</t>
  </si>
  <si>
    <t>—</t>
  </si>
  <si>
    <t>415</t>
  </si>
  <si>
    <t>Nindy (D/I)</t>
  </si>
  <si>
    <t>Yulia (C/S)</t>
  </si>
  <si>
    <t>416</t>
  </si>
  <si>
    <t>Irvani (D/I)</t>
  </si>
  <si>
    <t>Linda (S/C)</t>
  </si>
  <si>
    <t>417</t>
  </si>
  <si>
    <t>Andri (D/I)</t>
  </si>
  <si>
    <t>Ainur (I/C)</t>
  </si>
  <si>
    <t>LANTAI ATAS</t>
  </si>
  <si>
    <t>422</t>
  </si>
  <si>
    <t>Jay (D/I)</t>
  </si>
  <si>
    <t>Kensrie (D/C – Balanced)</t>
  </si>
  <si>
    <t>423</t>
  </si>
  <si>
    <t>Gilang (D/I)</t>
  </si>
  <si>
    <t>Dimas (C/S)</t>
  </si>
  <si>
    <t>424</t>
  </si>
  <si>
    <t>Jaka (I/D)</t>
  </si>
  <si>
    <t>Fadli (S)</t>
  </si>
  <si>
    <t>425</t>
  </si>
  <si>
    <t>Elfasa (I/S)</t>
  </si>
  <si>
    <t>Popan (S)</t>
  </si>
  <si>
    <t>Catatan: 411–412 = TRP perempuan; 413 = TRP laki-laki. Pairing mempertimbangkan keseimbangan DISC dan gender. Profil DISC Alga, Chelsy, Eyang, dan Bu Bintang tidak tersedia pada data sumber.</t>
  </si>
  <si>
    <t>Nama Lengkap</t>
  </si>
  <si>
    <t>Panggilan</t>
  </si>
  <si>
    <t>Gender</t>
  </si>
  <si>
    <t>DISC</t>
  </si>
  <si>
    <t>I Gusti Ayu Ananda Putri</t>
  </si>
  <si>
    <t>Nanda</t>
  </si>
  <si>
    <t>Perempuan</t>
  </si>
  <si>
    <t>D/I</t>
  </si>
  <si>
    <t>Elfasa Khoirumansyah</t>
  </si>
  <si>
    <t>Elfasa</t>
  </si>
  <si>
    <t>Laki-laki</t>
  </si>
  <si>
    <t>I/S</t>
  </si>
  <si>
    <t>Nindy Amalia</t>
  </si>
  <si>
    <t>Nindy</t>
  </si>
  <si>
    <t>Irvani Putri</t>
  </si>
  <si>
    <t>Irvani</t>
  </si>
  <si>
    <t>Mya Mar'atus Sholikhah</t>
  </si>
  <si>
    <t>Mya</t>
  </si>
  <si>
    <t>D/C</t>
  </si>
  <si>
    <t>Okki Putri Fadilah</t>
  </si>
  <si>
    <t>Okki</t>
  </si>
  <si>
    <t>Maria Dita Fivtiari</t>
  </si>
  <si>
    <t>Dita</t>
  </si>
  <si>
    <t>Etik Andriyanti</t>
  </si>
  <si>
    <t>Andri</t>
  </si>
  <si>
    <t>Sri Wijayati</t>
  </si>
  <si>
    <t>Jay</t>
  </si>
  <si>
    <t>Paramitha Maharesmi Nugraheni Putri</t>
  </si>
  <si>
    <t>Mitha</t>
  </si>
  <si>
    <t>S/C</t>
  </si>
  <si>
    <t>Yulia Mekar Rini</t>
  </si>
  <si>
    <t>Yulia</t>
  </si>
  <si>
    <t>C/S</t>
  </si>
  <si>
    <t>Ainur Hasanah</t>
  </si>
  <si>
    <t>Ainur</t>
  </si>
  <si>
    <t>I/C</t>
  </si>
  <si>
    <t>Fuad Jaka Pamungkas</t>
  </si>
  <si>
    <t>Jaka</t>
  </si>
  <si>
    <t>I/D</t>
  </si>
  <si>
    <t>Dimas Wiyanarko</t>
  </si>
  <si>
    <t>Dimas</t>
  </si>
  <si>
    <t>Sofyan Thohari</t>
  </si>
  <si>
    <t>Popan</t>
  </si>
  <si>
    <t>S</t>
  </si>
  <si>
    <t>Adiel Priyarama</t>
  </si>
  <si>
    <t>Adiel</t>
  </si>
  <si>
    <t>Kensrie Diah Ayuningtyas</t>
  </si>
  <si>
    <t>Kensrie</t>
  </si>
  <si>
    <t>D/C – Balanced</t>
  </si>
  <si>
    <t>Linda Susanto</t>
  </si>
  <si>
    <t>Linda</t>
  </si>
  <si>
    <t>Gilang Risnantyo</t>
  </si>
  <si>
    <t>Gilang</t>
  </si>
  <si>
    <t>Fadli Fahmi Ali</t>
  </si>
  <si>
    <t>Fadli</t>
  </si>
  <si>
    <t>I Gusti Putu Yaktianuraga</t>
  </si>
  <si>
    <t>Bagus</t>
  </si>
  <si>
    <t>Alga</t>
  </si>
  <si>
    <t>–</t>
  </si>
  <si>
    <t>Chelsy</t>
  </si>
  <si>
    <t>Eyang</t>
  </si>
  <si>
    <t>Bu Bintang</t>
  </si>
  <si>
    <t>Arie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</si>
</sst>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8"/>
      <color rgb="FFFFFFFF"/>
      <name val="Carlito"/>
    </font>
    <font>
      <i/>
      <sz val="10"/>
      <color rgb="FF17365D"/>
      <name val="Carlito"/>
    </font>
    <font>
      <b/>
      <sz val="10"/>
      <color rgb="FFFFFFFF"/>
      <name val="Carlito"/>
    </font>
    <font>
      <b/>
      <sz val="14"/>
      <color rgb="FF17365D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7F4125"/>
      <name val="Carlito"/>
    </font>
    <font>
      <b/>
      <sz val="11"/>
      <color rgb="FF548235"/>
      <name val="Carlito"/>
    </font>
    <font>
      <sz val="11"/>
      <color rgb="FF666666"/>
      <name val="Carlito"/>
    </font>
    <font>
      <i/>
      <sz val="9"/>
      <color rgb="FF7F6000"/>
      <name val="Carlito"/>
    </font>
    <font>
      <sz val="11"/>
      <color theme="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A64B2A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8F1FB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9" fillId="12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/>
    </xf>
    <xf numFmtId="0" fontId="0" fillId="14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0" fillId="8" borderId="0" xfId="0" applyFont="1" applyFill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ntaiBawahTable" displayName="LantaiBawahTable" ref="A8:F15" totalsRowShown="0">
  <tableColumns count="6">
    <tableColumn id="1" xr3:uid="{00000000-0010-0000-0000-000001000000}" name="No."/>
    <tableColumn id="2" xr3:uid="{00000000-0010-0000-0000-000002000000}" name="Kamar"/>
    <tableColumn id="3" xr3:uid="{00000000-0010-0000-0000-000003000000}" name="Extra Bed"/>
    <tableColumn id="4" xr3:uid="{00000000-0010-0000-0000-000004000000}" name="Penghuni 1"/>
    <tableColumn id="5" xr3:uid="{00000000-0010-0000-0000-000005000000}" name="Penghuni 2"/>
    <tableColumn id="6" xr3:uid="{00000000-0010-0000-0000-000006000000}" name="Penghuni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ntaiAtasTable" displayName="LantaiAtasTable" ref="A19:F24" totalsRowShown="0">
  <tableColumns count="6">
    <tableColumn id="1" xr3:uid="{00000000-0010-0000-0100-000001000000}" name="No."/>
    <tableColumn id="2" xr3:uid="{00000000-0010-0000-0100-000002000000}" name="Kamar"/>
    <tableColumn id="3" xr3:uid="{00000000-0010-0000-0100-000003000000}" name="Extra Bed"/>
    <tableColumn id="4" xr3:uid="{00000000-0010-0000-0100-000004000000}" name="Penghuni 1"/>
    <tableColumn id="5" xr3:uid="{00000000-0010-0000-0100-000005000000}" name="Penghuni 2"/>
    <tableColumn id="6" xr3:uid="{00000000-0010-0000-0100-000006000000}" name="Penghuni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D19" sqref="D19"/>
    </sheetView>
  </sheetViews>
  <sheetFormatPr defaultRowHeight="13.8"/>
  <cols>
    <col min="1" max="1" width="8" customWidth="1"/>
    <col min="2" max="2" width="12" customWidth="1"/>
    <col min="3" max="3" width="16" customWidth="1"/>
    <col min="4" max="6" width="27" customWidth="1"/>
  </cols>
  <sheetData>
    <row r="1" spans="1:6" ht="25.65" customHeight="1">
      <c r="A1" s="12" t="s">
        <v>0</v>
      </c>
      <c r="B1" s="12"/>
      <c r="C1" s="12"/>
      <c r="D1" s="12"/>
      <c r="E1" s="12"/>
      <c r="F1" s="12"/>
    </row>
    <row r="2" spans="1:6" ht="17.55" customHeight="1">
      <c r="A2" s="13" t="s">
        <v>1</v>
      </c>
      <c r="B2" s="13"/>
      <c r="C2" s="13"/>
      <c r="D2" s="13"/>
      <c r="E2" s="13"/>
      <c r="F2" s="13"/>
    </row>
    <row r="4" spans="1:6">
      <c r="A4" s="14" t="s">
        <v>2</v>
      </c>
      <c r="B4" s="14"/>
      <c r="C4" s="14" t="s">
        <v>3</v>
      </c>
      <c r="D4" s="14"/>
      <c r="E4" s="14" t="s">
        <v>4</v>
      </c>
      <c r="F4" s="14"/>
    </row>
    <row r="5" spans="1:6" ht="22.35" customHeight="1">
      <c r="A5" s="20">
        <f>COUNTA(B9:B15)+COUNTA(B20:B24)</f>
        <v>12</v>
      </c>
      <c r="B5" s="15"/>
      <c r="C5" s="20">
        <f>COUNTIF(C9:C15,"TRP (+1 EB)")+COUNTIF(C20:C24,"TRP (+1 EB)")</f>
        <v>1</v>
      </c>
      <c r="D5" s="15"/>
      <c r="E5" s="20">
        <f>(COUNTA(B9:B15)+COUNTA(B20:B24))*2+COUNTIF(C9:C15,"TRP (+1 EB)")+COUNTIF(C20:C24,"TRP (+1 EB)")</f>
        <v>25</v>
      </c>
      <c r="F5" s="15"/>
    </row>
    <row r="7" spans="1:6" ht="19.2" customHeight="1">
      <c r="A7" s="16" t="s">
        <v>5</v>
      </c>
      <c r="B7" s="16"/>
      <c r="C7" s="16"/>
      <c r="D7" s="16"/>
      <c r="E7" s="16"/>
      <c r="F7" s="16"/>
    </row>
    <row r="8" spans="1:6" ht="24.75" customHeight="1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</row>
    <row r="9" spans="1:6" ht="24.75" hidden="1" customHeight="1">
      <c r="A9" s="4">
        <v>1</v>
      </c>
      <c r="B9" s="4" t="s">
        <v>12</v>
      </c>
      <c r="C9" s="4" t="s">
        <v>25</v>
      </c>
      <c r="D9" s="8" t="s">
        <v>26</v>
      </c>
      <c r="E9" s="8" t="s">
        <v>27</v>
      </c>
      <c r="F9" s="9" t="s">
        <v>28</v>
      </c>
    </row>
    <row r="10" spans="1:6" ht="24.75" customHeight="1">
      <c r="A10" s="4">
        <v>1</v>
      </c>
      <c r="B10" s="4" t="s">
        <v>29</v>
      </c>
      <c r="C10" s="4" t="s">
        <v>25</v>
      </c>
      <c r="D10" s="8" t="s">
        <v>46</v>
      </c>
      <c r="E10" s="8" t="s">
        <v>47</v>
      </c>
      <c r="F10" s="9" t="s">
        <v>28</v>
      </c>
    </row>
    <row r="11" spans="1:6" ht="24.75" customHeight="1">
      <c r="A11" s="4">
        <v>2</v>
      </c>
      <c r="B11" s="4" t="s">
        <v>32</v>
      </c>
      <c r="C11" s="4" t="s">
        <v>25</v>
      </c>
      <c r="D11" s="19" t="s">
        <v>22</v>
      </c>
      <c r="E11" s="19" t="s">
        <v>44</v>
      </c>
      <c r="F11" s="9" t="s">
        <v>28</v>
      </c>
    </row>
    <row r="12" spans="1:6" ht="24.75" customHeight="1">
      <c r="A12" s="5">
        <v>3</v>
      </c>
      <c r="B12" s="5">
        <v>414</v>
      </c>
      <c r="C12" s="6" t="s">
        <v>13</v>
      </c>
      <c r="D12" s="7" t="s">
        <v>23</v>
      </c>
      <c r="E12" s="7" t="s">
        <v>43</v>
      </c>
      <c r="F12" s="7" t="s">
        <v>114</v>
      </c>
    </row>
    <row r="13" spans="1:6" ht="24.75" customHeight="1">
      <c r="A13" s="4">
        <v>4</v>
      </c>
      <c r="B13" s="4">
        <v>412</v>
      </c>
      <c r="C13" s="4" t="s">
        <v>25</v>
      </c>
      <c r="D13" s="19" t="s">
        <v>19</v>
      </c>
      <c r="E13" s="8" t="s">
        <v>14</v>
      </c>
      <c r="F13" s="9" t="s">
        <v>28</v>
      </c>
    </row>
    <row r="14" spans="1:6" ht="24.75" customHeight="1">
      <c r="A14" s="4">
        <v>5</v>
      </c>
      <c r="B14" s="4">
        <v>413</v>
      </c>
      <c r="C14" s="4" t="s">
        <v>25</v>
      </c>
      <c r="D14" s="19" t="s">
        <v>40</v>
      </c>
      <c r="E14" s="19" t="s">
        <v>41</v>
      </c>
      <c r="F14" s="9" t="s">
        <v>28</v>
      </c>
    </row>
    <row r="15" spans="1:6" ht="24.75" customHeight="1">
      <c r="A15" s="4">
        <v>6</v>
      </c>
      <c r="B15" s="4" t="s">
        <v>35</v>
      </c>
      <c r="C15" s="4" t="s">
        <v>25</v>
      </c>
      <c r="D15" s="19" t="s">
        <v>36</v>
      </c>
      <c r="E15" s="19" t="s">
        <v>37</v>
      </c>
      <c r="F15" s="9" t="s">
        <v>28</v>
      </c>
    </row>
    <row r="18" spans="1:6" ht="19.2" customHeight="1">
      <c r="A18" s="17" t="s">
        <v>38</v>
      </c>
      <c r="B18" s="17"/>
      <c r="C18" s="17"/>
      <c r="D18" s="17"/>
      <c r="E18" s="17"/>
      <c r="F18" s="17"/>
    </row>
    <row r="19" spans="1:6" ht="24.75" customHeight="1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11</v>
      </c>
    </row>
    <row r="20" spans="1:6" ht="24.75" customHeight="1">
      <c r="A20" s="4">
        <v>7</v>
      </c>
      <c r="B20" s="4">
        <v>421</v>
      </c>
      <c r="C20" s="4" t="s">
        <v>25</v>
      </c>
      <c r="D20" s="19" t="s">
        <v>15</v>
      </c>
      <c r="E20" s="8" t="s">
        <v>16</v>
      </c>
      <c r="F20" s="9" t="s">
        <v>28</v>
      </c>
    </row>
    <row r="21" spans="1:6" ht="24.75" customHeight="1">
      <c r="A21" s="4">
        <v>8</v>
      </c>
      <c r="B21" s="4" t="s">
        <v>39</v>
      </c>
      <c r="C21" s="4" t="s">
        <v>25</v>
      </c>
      <c r="D21" s="19" t="s">
        <v>30</v>
      </c>
      <c r="E21" s="19" t="s">
        <v>20</v>
      </c>
      <c r="F21" s="9" t="s">
        <v>28</v>
      </c>
    </row>
    <row r="22" spans="1:6" ht="24.75" customHeight="1">
      <c r="A22" s="4">
        <v>9</v>
      </c>
      <c r="B22" s="4" t="s">
        <v>42</v>
      </c>
      <c r="C22" s="4" t="s">
        <v>25</v>
      </c>
      <c r="D22" s="8" t="s">
        <v>33</v>
      </c>
      <c r="E22" s="8" t="s">
        <v>34</v>
      </c>
      <c r="F22" s="9" t="s">
        <v>28</v>
      </c>
    </row>
    <row r="23" spans="1:6" ht="24.75" customHeight="1">
      <c r="A23" s="4">
        <v>10</v>
      </c>
      <c r="B23" s="4" t="s">
        <v>45</v>
      </c>
      <c r="C23" s="4" t="s">
        <v>25</v>
      </c>
      <c r="D23" s="19" t="s">
        <v>18</v>
      </c>
      <c r="E23" s="19" t="s">
        <v>31</v>
      </c>
      <c r="F23" s="9" t="s">
        <v>28</v>
      </c>
    </row>
    <row r="24" spans="1:6" ht="24.75" customHeight="1">
      <c r="A24" s="4">
        <v>11</v>
      </c>
      <c r="B24" s="4" t="s">
        <v>48</v>
      </c>
      <c r="C24" s="4" t="s">
        <v>25</v>
      </c>
      <c r="D24" s="8" t="s">
        <v>49</v>
      </c>
      <c r="E24" s="8" t="s">
        <v>50</v>
      </c>
      <c r="F24" s="9" t="s">
        <v>28</v>
      </c>
    </row>
    <row r="26" spans="1:6" ht="30.45" customHeight="1">
      <c r="A26" s="18" t="s">
        <v>51</v>
      </c>
      <c r="B26" s="18"/>
      <c r="C26" s="18"/>
      <c r="D26" s="18"/>
      <c r="E26" s="18"/>
      <c r="F26" s="18"/>
    </row>
  </sheetData>
  <mergeCells count="11">
    <mergeCell ref="A26:F26"/>
    <mergeCell ref="A5:B5"/>
    <mergeCell ref="C5:D5"/>
    <mergeCell ref="E5:F5"/>
    <mergeCell ref="A7:F7"/>
    <mergeCell ref="A18:F18"/>
    <mergeCell ref="A1:F1"/>
    <mergeCell ref="A2:F2"/>
    <mergeCell ref="A4:B4"/>
    <mergeCell ref="C4:D4"/>
    <mergeCell ref="E4:F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3.8"/>
  <cols>
    <col min="1" max="1" width="7" customWidth="1"/>
    <col min="2" max="2" width="34" customWidth="1"/>
    <col min="3" max="3" width="16" customWidth="1"/>
    <col min="4" max="4" width="14" customWidth="1"/>
    <col min="5" max="5" width="18" customWidth="1"/>
    <col min="6" max="6" width="10" customWidth="1"/>
  </cols>
  <sheetData>
    <row r="1" spans="1:6" ht="19.2" customHeight="1">
      <c r="A1" s="10" t="s">
        <v>6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7</v>
      </c>
    </row>
    <row r="2" spans="1:6" ht="19.2" customHeight="1">
      <c r="A2" s="11">
        <v>1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12</v>
      </c>
    </row>
    <row r="3" spans="1:6" ht="19.2" customHeight="1">
      <c r="A3" s="3">
        <v>2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48</v>
      </c>
    </row>
    <row r="4" spans="1:6" ht="19.2" customHeight="1">
      <c r="A4" s="11">
        <v>3</v>
      </c>
      <c r="B4" s="11" t="s">
        <v>64</v>
      </c>
      <c r="C4" s="11" t="s">
        <v>65</v>
      </c>
      <c r="D4" s="11" t="s">
        <v>58</v>
      </c>
      <c r="E4" s="11" t="s">
        <v>59</v>
      </c>
      <c r="F4" s="11" t="s">
        <v>29</v>
      </c>
    </row>
    <row r="5" spans="1:6" ht="19.2" customHeight="1">
      <c r="A5" s="3">
        <v>4</v>
      </c>
      <c r="B5" s="3" t="s">
        <v>66</v>
      </c>
      <c r="C5" s="3" t="s">
        <v>67</v>
      </c>
      <c r="D5" s="3" t="s">
        <v>58</v>
      </c>
      <c r="E5" s="3" t="s">
        <v>59</v>
      </c>
      <c r="F5" s="3" t="s">
        <v>32</v>
      </c>
    </row>
    <row r="6" spans="1:6" ht="19.2" customHeight="1">
      <c r="A6" s="11">
        <v>5</v>
      </c>
      <c r="B6" s="11" t="s">
        <v>68</v>
      </c>
      <c r="C6" s="11" t="s">
        <v>69</v>
      </c>
      <c r="D6" s="11" t="s">
        <v>58</v>
      </c>
      <c r="E6" s="11" t="s">
        <v>70</v>
      </c>
      <c r="F6" s="11" t="s">
        <v>17</v>
      </c>
    </row>
    <row r="7" spans="1:6" ht="19.2" customHeight="1">
      <c r="A7" s="3">
        <v>6</v>
      </c>
      <c r="B7" s="3" t="s">
        <v>71</v>
      </c>
      <c r="C7" s="3" t="s">
        <v>72</v>
      </c>
      <c r="D7" s="3" t="s">
        <v>58</v>
      </c>
      <c r="E7" s="3" t="s">
        <v>63</v>
      </c>
      <c r="F7" s="3" t="s">
        <v>17</v>
      </c>
    </row>
    <row r="8" spans="1:6" ht="19.2" customHeight="1">
      <c r="A8" s="11">
        <v>7</v>
      </c>
      <c r="B8" s="11" t="s">
        <v>73</v>
      </c>
      <c r="C8" s="11" t="s">
        <v>74</v>
      </c>
      <c r="D8" s="11" t="s">
        <v>58</v>
      </c>
      <c r="E8" s="11" t="s">
        <v>70</v>
      </c>
      <c r="F8" s="11" t="s">
        <v>17</v>
      </c>
    </row>
    <row r="9" spans="1:6" ht="19.2" customHeight="1">
      <c r="A9" s="3">
        <v>8</v>
      </c>
      <c r="B9" s="3" t="s">
        <v>75</v>
      </c>
      <c r="C9" s="3" t="s">
        <v>76</v>
      </c>
      <c r="D9" s="3" t="s">
        <v>58</v>
      </c>
      <c r="E9" s="3" t="s">
        <v>59</v>
      </c>
      <c r="F9" s="3" t="s">
        <v>35</v>
      </c>
    </row>
    <row r="10" spans="1:6" ht="19.2" customHeight="1">
      <c r="A10" s="11">
        <v>9</v>
      </c>
      <c r="B10" s="11" t="s">
        <v>77</v>
      </c>
      <c r="C10" s="11" t="s">
        <v>78</v>
      </c>
      <c r="D10" s="11" t="s">
        <v>58</v>
      </c>
      <c r="E10" s="11" t="s">
        <v>59</v>
      </c>
      <c r="F10" s="11" t="s">
        <v>39</v>
      </c>
    </row>
    <row r="11" spans="1:6" ht="19.2" customHeight="1">
      <c r="A11" s="3">
        <v>10</v>
      </c>
      <c r="B11" s="3" t="s">
        <v>79</v>
      </c>
      <c r="C11" s="3" t="s">
        <v>80</v>
      </c>
      <c r="D11" s="3" t="s">
        <v>58</v>
      </c>
      <c r="E11" s="3" t="s">
        <v>81</v>
      </c>
      <c r="F11" s="3" t="s">
        <v>12</v>
      </c>
    </row>
    <row r="12" spans="1:6" ht="19.2" customHeight="1">
      <c r="A12" s="11">
        <v>11</v>
      </c>
      <c r="B12" s="11" t="s">
        <v>82</v>
      </c>
      <c r="C12" s="11" t="s">
        <v>83</v>
      </c>
      <c r="D12" s="11" t="s">
        <v>58</v>
      </c>
      <c r="E12" s="11" t="s">
        <v>84</v>
      </c>
      <c r="F12" s="11" t="s">
        <v>29</v>
      </c>
    </row>
    <row r="13" spans="1:6" ht="19.2" customHeight="1">
      <c r="A13" s="3">
        <v>12</v>
      </c>
      <c r="B13" s="3" t="s">
        <v>85</v>
      </c>
      <c r="C13" s="3" t="s">
        <v>86</v>
      </c>
      <c r="D13" s="3" t="s">
        <v>58</v>
      </c>
      <c r="E13" s="3" t="s">
        <v>87</v>
      </c>
      <c r="F13" s="3" t="s">
        <v>35</v>
      </c>
    </row>
    <row r="14" spans="1:6" ht="19.2" customHeight="1">
      <c r="A14" s="11">
        <v>13</v>
      </c>
      <c r="B14" s="11" t="s">
        <v>88</v>
      </c>
      <c r="C14" s="11" t="s">
        <v>89</v>
      </c>
      <c r="D14" s="11" t="s">
        <v>62</v>
      </c>
      <c r="E14" s="11" t="s">
        <v>90</v>
      </c>
      <c r="F14" s="11" t="s">
        <v>45</v>
      </c>
    </row>
    <row r="15" spans="1:6" ht="19.2" customHeight="1">
      <c r="A15" s="3">
        <v>14</v>
      </c>
      <c r="B15" s="3" t="s">
        <v>91</v>
      </c>
      <c r="C15" s="3" t="s">
        <v>92</v>
      </c>
      <c r="D15" s="3" t="s">
        <v>62</v>
      </c>
      <c r="E15" s="3" t="s">
        <v>84</v>
      </c>
      <c r="F15" s="3" t="s">
        <v>42</v>
      </c>
    </row>
    <row r="16" spans="1:6" ht="19.2" customHeight="1">
      <c r="A16" s="11">
        <v>15</v>
      </c>
      <c r="B16" s="11" t="s">
        <v>93</v>
      </c>
      <c r="C16" s="11" t="s">
        <v>94</v>
      </c>
      <c r="D16" s="11" t="s">
        <v>62</v>
      </c>
      <c r="E16" s="11" t="s">
        <v>95</v>
      </c>
      <c r="F16" s="11" t="s">
        <v>48</v>
      </c>
    </row>
    <row r="17" spans="1:6" ht="19.2" customHeight="1">
      <c r="A17" s="3">
        <v>16</v>
      </c>
      <c r="B17" s="3" t="s">
        <v>96</v>
      </c>
      <c r="C17" s="3" t="s">
        <v>97</v>
      </c>
      <c r="D17" s="3" t="s">
        <v>62</v>
      </c>
      <c r="E17" s="3" t="s">
        <v>81</v>
      </c>
      <c r="F17" s="3" t="s">
        <v>21</v>
      </c>
    </row>
    <row r="18" spans="1:6" ht="19.2" customHeight="1">
      <c r="A18" s="11">
        <v>17</v>
      </c>
      <c r="B18" s="11" t="s">
        <v>98</v>
      </c>
      <c r="C18" s="11" t="s">
        <v>99</v>
      </c>
      <c r="D18" s="11" t="s">
        <v>58</v>
      </c>
      <c r="E18" s="11" t="s">
        <v>100</v>
      </c>
      <c r="F18" s="11" t="s">
        <v>39</v>
      </c>
    </row>
    <row r="19" spans="1:6" ht="19.2" customHeight="1">
      <c r="A19" s="3">
        <v>18</v>
      </c>
      <c r="B19" s="3" t="s">
        <v>101</v>
      </c>
      <c r="C19" s="3" t="s">
        <v>102</v>
      </c>
      <c r="D19" s="3" t="s">
        <v>58</v>
      </c>
      <c r="E19" s="3" t="s">
        <v>81</v>
      </c>
      <c r="F19" s="3" t="s">
        <v>32</v>
      </c>
    </row>
    <row r="20" spans="1:6" ht="19.2" customHeight="1">
      <c r="A20" s="11">
        <v>19</v>
      </c>
      <c r="B20" s="11" t="s">
        <v>103</v>
      </c>
      <c r="C20" s="11" t="s">
        <v>104</v>
      </c>
      <c r="D20" s="11" t="s">
        <v>62</v>
      </c>
      <c r="E20" s="11" t="s">
        <v>59</v>
      </c>
      <c r="F20" s="11" t="s">
        <v>42</v>
      </c>
    </row>
    <row r="21" spans="1:6" ht="19.2" customHeight="1">
      <c r="A21" s="3">
        <v>20</v>
      </c>
      <c r="B21" s="3" t="s">
        <v>105</v>
      </c>
      <c r="C21" s="3" t="s">
        <v>106</v>
      </c>
      <c r="D21" s="3" t="s">
        <v>62</v>
      </c>
      <c r="E21" s="3" t="s">
        <v>95</v>
      </c>
      <c r="F21" s="3" t="s">
        <v>45</v>
      </c>
    </row>
    <row r="22" spans="1:6" ht="19.2" customHeight="1">
      <c r="A22" s="11">
        <v>21</v>
      </c>
      <c r="B22" s="11" t="s">
        <v>107</v>
      </c>
      <c r="C22" s="11" t="s">
        <v>108</v>
      </c>
      <c r="D22" s="11" t="s">
        <v>62</v>
      </c>
      <c r="E22" s="11" t="s">
        <v>59</v>
      </c>
      <c r="F22" s="11" t="s">
        <v>21</v>
      </c>
    </row>
    <row r="23" spans="1:6" ht="19.2" customHeight="1">
      <c r="A23" s="3">
        <v>22</v>
      </c>
      <c r="B23" s="3" t="s">
        <v>109</v>
      </c>
      <c r="C23" s="3" t="s">
        <v>109</v>
      </c>
      <c r="D23" s="3" t="s">
        <v>62</v>
      </c>
      <c r="E23" s="3" t="s">
        <v>110</v>
      </c>
      <c r="F23" s="3" t="s">
        <v>21</v>
      </c>
    </row>
    <row r="24" spans="1:6" ht="19.2" customHeight="1">
      <c r="A24" s="11">
        <v>23</v>
      </c>
      <c r="B24" s="11" t="s">
        <v>111</v>
      </c>
      <c r="C24" s="11" t="s">
        <v>111</v>
      </c>
      <c r="D24" s="11" t="s">
        <v>58</v>
      </c>
      <c r="E24" s="11" t="s">
        <v>110</v>
      </c>
      <c r="F24" s="11" t="s">
        <v>12</v>
      </c>
    </row>
    <row r="25" spans="1:6" ht="19.2" customHeight="1">
      <c r="A25" s="3">
        <v>24</v>
      </c>
      <c r="B25" s="3" t="s">
        <v>112</v>
      </c>
      <c r="C25" s="3" t="s">
        <v>112</v>
      </c>
      <c r="D25" s="3" t="s">
        <v>110</v>
      </c>
      <c r="E25" s="3" t="s">
        <v>110</v>
      </c>
      <c r="F25" s="3" t="s">
        <v>24</v>
      </c>
    </row>
    <row r="26" spans="1:6" ht="19.2" customHeight="1">
      <c r="A26" s="11">
        <v>25</v>
      </c>
      <c r="B26" s="11" t="s">
        <v>113</v>
      </c>
      <c r="C26" s="11" t="s">
        <v>113</v>
      </c>
      <c r="D26" s="11" t="s">
        <v>110</v>
      </c>
      <c r="E26" s="11" t="s">
        <v>110</v>
      </c>
      <c r="F26" s="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Rooming List</vt:lpstr>
      <vt:lpstr>Daftar Penghuni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Adiel Priyarama</cp:lastModifiedBy>
  <dcterms:created xsi:type="dcterms:W3CDTF">2026-09-07T11:48:32Z</dcterms:created>
  <dcterms:modified xsi:type="dcterms:W3CDTF">2026-09-07T11:51:00Z</dcterms:modified>
</cp:coreProperties>
</file>